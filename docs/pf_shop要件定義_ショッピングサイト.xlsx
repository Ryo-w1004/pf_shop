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概要" sheetId="1" state="visible" r:id="rId3"/>
    <sheet name="機能要件一覧" sheetId="2" state="visible" r:id="rId4"/>
    <sheet name="非機能要件" sheetId="3" state="visible" r:id="rId5"/>
    <sheet name="画面一覧" sheetId="4" state="visible" r:id="rId6"/>
    <sheet name="テーブル定義" sheetId="5" state="visible" r:id="rId7"/>
    <sheet name="課題・確認事項" sheetId="6" state="visible" r:id="rId8"/>
    <sheet name="スケジュール" sheetId="7" state="visible" r:id="rId9"/>
    <sheet name="稼働カレンダー" sheetId="8" state="visible" r:id="rId10"/>
  </sheets>
  <definedNames>
    <definedName function="false" hidden="false" localSheetId="6" name="_xlnm.Print_Titles" vbProcedure="false">スケジュール!$4:$4</definedName>
    <definedName function="false" hidden="true" localSheetId="6" name="_xlnm._FilterDatabase" vbProcedure="false">スケジュール!$A$4:$N$25</definedName>
    <definedName function="false" hidden="false" localSheetId="4" name="_xlnm.Print_Titles" vbProcedure="false">テーブル定義!$4:$4</definedName>
    <definedName function="false" hidden="true" localSheetId="4" name="_xlnm._FilterDatabase" vbProcedure="false">テーブル定義!$A$4:$G$48</definedName>
    <definedName function="false" hidden="false" localSheetId="1" name="_xlnm.Print_Titles" vbProcedure="false">機能要件一覧!$4:$4</definedName>
    <definedName function="false" hidden="true" localSheetId="1" name="_xlnm._FilterDatabase" vbProcedure="false">機能要件一覧!$A$4:$M$28</definedName>
    <definedName function="false" hidden="false" localSheetId="3" name="_xlnm.Print_Titles" vbProcedure="false">画面一覧!$4:$4</definedName>
    <definedName function="false" hidden="true" localSheetId="3" name="_xlnm._FilterDatabase" vbProcedure="false">画面一覧!$A$4:$I$24</definedName>
    <definedName function="false" hidden="false" localSheetId="7" name="_xlnm.Print_Titles" vbProcedure="false">稼働カレンダー!$15:$15</definedName>
    <definedName function="false" hidden="false" localSheetId="5" name="_xlnm.Print_Titles" vbProcedure="false">課題・確認事項!$4:$4</definedName>
    <definedName function="false" hidden="true" localSheetId="5" name="_xlnm._FilterDatabase" vbProcedure="false">課題・確認事項!$A$4:$H$16</definedName>
    <definedName function="false" hidden="false" localSheetId="2" name="_xlnm.Print_Titles" vbProcedure="false">非機能要件!$4:$4</definedName>
    <definedName function="false" hidden="true" localSheetId="2" name="_xlnm._FilterDatabase" vbProcedure="false">非機能要件!$A$4:$F$20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<sst xmlns="http://schemas.openxmlformats.org/spreadsheetml/2006/main" count="1386" uniqueCount="696">
  <si>
    <t xml:space="preserve">ショッピングサイト 要件定義書</t>
  </si>
  <si>
    <t xml:space="preserve">ウェブカツ オリジナルアウトプット。各シートの内容は、機能要件一覧のIDで対応しています。</t>
  </si>
  <si>
    <r>
      <rPr>
        <b val="true"/>
        <sz val="10"/>
        <color rgb="FFFFFFFF"/>
        <rFont val="Yu Gothic"/>
        <family val="3"/>
        <charset val="128"/>
      </rPr>
      <t xml:space="preserve">1. </t>
    </r>
    <r>
      <rPr>
        <b val="true"/>
        <sz val="10"/>
        <color rgb="FFFFFFFF"/>
        <rFont val="Noto Sans CJK SC"/>
        <family val="2"/>
      </rPr>
      <t xml:space="preserve">プロジェクト概要</t>
    </r>
  </si>
  <si>
    <t xml:space="preserve">プロジェクト名</t>
  </si>
  <si>
    <t xml:space="preserve">ショッピングサイト(ウェブカツ オリジナルアウトプット)</t>
  </si>
  <si>
    <t xml:space="preserve">目的</t>
  </si>
  <si>
    <t xml:space="preserve">出品者が複数いるショッピングサイトをLaravelで作り、AWSで公開する。ポートフォリオとして提示できる状態にする。</t>
  </si>
  <si>
    <t xml:space="preserve">利用者</t>
  </si>
  <si>
    <t xml:space="preserve">購入者(ゲスト・会員)、出品者(商品を登録する会員)。購入者と出品者は、連絡掲示板で商品についてやり取りできる</t>
  </si>
  <si>
    <t xml:space="preserve">教材との関係</t>
  </si>
  <si>
    <t xml:space="preserve">ウェブカツ WEBサービス部のレッスン(Lesson 02〜25)を順に進めながら作る。教材にない機能(カート・注文確定・注文履歴)は、Lesson 25のあとに作る</t>
  </si>
  <si>
    <t xml:space="preserve">スコープの区分</t>
  </si>
  <si>
    <r>
      <rPr>
        <sz val="10"/>
        <rFont val="Yu Gothic"/>
        <family val="3"/>
        <charset val="128"/>
      </rPr>
      <t xml:space="preserve">Phase1:AWS</t>
    </r>
    <r>
      <rPr>
        <sz val="10"/>
        <rFont val="Noto Sans CJK SC"/>
        <family val="2"/>
      </rPr>
      <t xml:space="preserve">で公開するまでに作る機能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教材のレッスンで作る機能</t>
    </r>
    <r>
      <rPr>
        <sz val="10"/>
        <rFont val="Yu Gothic"/>
        <family val="3"/>
        <charset val="128"/>
      </rPr>
      <t xml:space="preserve">+</t>
    </r>
    <r>
      <rPr>
        <sz val="10"/>
        <rFont val="Noto Sans CJK SC"/>
        <family val="2"/>
      </rPr>
      <t xml:space="preserve">連絡掲示板</t>
    </r>
    <r>
      <rPr>
        <sz val="10"/>
        <rFont val="Yu Gothic"/>
        <family val="3"/>
        <charset val="128"/>
      </rPr>
      <t xml:space="preserve">+</t>
    </r>
    <r>
      <rPr>
        <sz val="10"/>
        <rFont val="Noto Sans CJK SC"/>
        <family val="2"/>
      </rPr>
      <t xml:space="preserve">カート・注文確定</t>
    </r>
    <r>
      <rPr>
        <sz val="10"/>
        <rFont val="Yu Gothic"/>
        <family val="3"/>
        <charset val="128"/>
      </rPr>
      <t xml:space="preserve">)/ Phase2:</t>
    </r>
    <r>
      <rPr>
        <sz val="10"/>
        <rFont val="Noto Sans CJK SC"/>
        <family val="2"/>
      </rPr>
      <t xml:space="preserve">公開後に追加する機能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注文履歴</t>
    </r>
    <r>
      <rPr>
        <sz val="10"/>
        <rFont val="Yu Gothic"/>
        <family val="3"/>
        <charset val="128"/>
      </rPr>
      <t xml:space="preserve">)/ </t>
    </r>
    <r>
      <rPr>
        <sz val="10"/>
        <rFont val="Noto Sans CJK SC"/>
        <family val="2"/>
      </rPr>
      <t xml:space="preserve">対象外</t>
    </r>
    <r>
      <rPr>
        <sz val="10"/>
        <rFont val="Yu Gothic"/>
        <family val="3"/>
        <charset val="128"/>
      </rPr>
      <t xml:space="preserve">:</t>
    </r>
    <r>
      <rPr>
        <sz val="10"/>
        <rFont val="Noto Sans CJK SC"/>
        <family val="2"/>
      </rPr>
      <t xml:space="preserve">今回は作らない機能</t>
    </r>
  </si>
  <si>
    <t xml:space="preserve">今回作らないもの</t>
  </si>
  <si>
    <t xml:space="preserve">クレジットカード決済、在庫管理、メール通知、レビュー機能</t>
  </si>
  <si>
    <t xml:space="preserve">技術構成</t>
  </si>
  <si>
    <r>
      <rPr>
        <sz val="10"/>
        <rFont val="Yu Gothic"/>
        <family val="3"/>
        <charset val="128"/>
      </rPr>
      <t xml:space="preserve">Laravel 13 / 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3"/>
        <charset val="128"/>
      </rPr>
      <t xml:space="preserve">MAMP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3"/>
        <charset val="128"/>
      </rPr>
      <t xml:space="preserve">PHP 8.4.1)/ MySQL(</t>
    </r>
    <r>
      <rPr>
        <sz val="10"/>
        <rFont val="Noto Sans CJK SC"/>
        <family val="2"/>
      </rPr>
      <t xml:space="preserve">ローカルは</t>
    </r>
    <r>
      <rPr>
        <sz val="10"/>
        <rFont val="Yu Gothic"/>
        <family val="3"/>
        <charset val="128"/>
      </rPr>
      <t xml:space="preserve">MAMP)/ </t>
    </r>
    <r>
      <rPr>
        <sz val="10"/>
        <rFont val="Noto Sans CJK SC"/>
        <family val="2"/>
      </rPr>
      <t xml:space="preserve">本番は</t>
    </r>
    <r>
      <rPr>
        <sz val="10"/>
        <rFont val="Yu Gothic"/>
        <family val="3"/>
        <charset val="128"/>
      </rPr>
      <t xml:space="preserve">AWS(EC2 + RDS</t>
    </r>
    <r>
      <rPr>
        <sz val="10"/>
        <rFont val="Noto Sans CJK SC"/>
        <family val="2"/>
      </rPr>
      <t xml:space="preserve">を想定。インフラ部の構成に合わせて確定</t>
    </r>
    <r>
      <rPr>
        <sz val="10"/>
        <rFont val="Yu Gothic"/>
        <family val="3"/>
        <charset val="128"/>
      </rPr>
      <t xml:space="preserve">)</t>
    </r>
  </si>
  <si>
    <t xml:space="preserve">ソース管理</t>
  </si>
  <si>
    <r>
      <rPr>
        <sz val="10"/>
        <rFont val="Yu Gothic"/>
        <family val="3"/>
        <charset val="128"/>
      </rPr>
      <t xml:space="preserve">Git + GitHub(private)</t>
    </r>
    <r>
      <rPr>
        <sz val="10"/>
        <rFont val="Noto Sans CJK SC"/>
        <family val="2"/>
      </rPr>
      <t xml:space="preserve">。機能ごとに</t>
    </r>
    <r>
      <rPr>
        <sz val="10"/>
        <rFont val="Yu Gothic"/>
        <family val="3"/>
        <charset val="128"/>
      </rPr>
      <t xml:space="preserve">feature</t>
    </r>
    <r>
      <rPr>
        <sz val="10"/>
        <rFont val="Noto Sans CJK SC"/>
        <family val="2"/>
      </rPr>
      <t xml:space="preserve">ブランチを切り、動作確認後に</t>
    </r>
    <r>
      <rPr>
        <sz val="10"/>
        <rFont val="Yu Gothic"/>
        <family val="3"/>
        <charset val="128"/>
      </rPr>
      <t xml:space="preserve">main</t>
    </r>
    <r>
      <rPr>
        <sz val="10"/>
        <rFont val="Noto Sans CJK SC"/>
        <family val="2"/>
      </rPr>
      <t xml:space="preserve">へマージする</t>
    </r>
  </si>
  <si>
    <t xml:space="preserve">体制・稼働</t>
  </si>
  <si>
    <t xml:space="preserve">個人開発(1名)。稼働時間は平日4.5時間・休日10時間。うち平日1時間・休日2時間は再現練習に充て、残りを開発に使う(日程の計算前提。稼働カレンダーで変更可)</t>
  </si>
  <si>
    <t xml:space="preserve">学習の進め方</t>
  </si>
  <si>
    <t xml:space="preserve">教材なしで作れるようになるため、機能ごとに ①写経(教材どおりに作る)②再現(翌日、教材を見ずに練習用ブランチで作り直す)③改造(教材にない変化を1つ足す)④白紙(週末に、同じ型の機能を別の題材で作る)の順で身につける。教材にない機能(カート・注文確定・注文履歴)は、ヒントだけをもらって自力で実装する。到達目標:教材を見ずにCRUDを2時間以内で作れる</t>
  </si>
  <si>
    <t xml:space="preserve">参考資料</t>
  </si>
  <si>
    <t xml:space="preserve">ウェブカツ WEBサービス部 Lesson 01「WEBサービスと必要な機能」の17機能、Lesson 23「連絡掲示板機能」</t>
  </si>
  <si>
    <r>
      <rPr>
        <b val="true"/>
        <sz val="10"/>
        <color rgb="FFFFFFFF"/>
        <rFont val="Yu Gothic"/>
        <family val="3"/>
        <charset val="128"/>
      </rPr>
      <t xml:space="preserve">2. </t>
    </r>
    <r>
      <rPr>
        <b val="true"/>
        <sz val="10"/>
        <color rgb="FFFFFFFF"/>
        <rFont val="Noto Sans CJK SC"/>
        <family val="2"/>
      </rPr>
      <t xml:space="preserve">進捗サマリ</t>
    </r>
    <r>
      <rPr>
        <b val="true"/>
        <sz val="10"/>
        <color rgb="FFFFFFFF"/>
        <rFont val="Yu Gothic"/>
        <family val="3"/>
        <charset val="128"/>
      </rPr>
      <t xml:space="preserve">(</t>
    </r>
    <r>
      <rPr>
        <b val="true"/>
        <sz val="10"/>
        <color rgb="FFFFFFFF"/>
        <rFont val="Noto Sans CJK SC"/>
        <family val="2"/>
      </rPr>
      <t xml:space="preserve">各シートから自動集計</t>
    </r>
    <r>
      <rPr>
        <b val="true"/>
        <sz val="10"/>
        <color rgb="FFFFFFFF"/>
        <rFont val="Yu Gothic"/>
        <family val="3"/>
        <charset val="128"/>
      </rPr>
      <t xml:space="preserve">)</t>
    </r>
  </si>
  <si>
    <r>
      <rPr>
        <b val="true"/>
        <sz val="10"/>
        <rFont val="Yu Gothic"/>
        <family val="3"/>
        <charset val="128"/>
      </rPr>
      <t xml:space="preserve">Phase1</t>
    </r>
    <r>
      <rPr>
        <b val="true"/>
        <sz val="10"/>
        <rFont val="Noto Sans CJK SC"/>
        <family val="2"/>
      </rPr>
      <t xml:space="preserve">の機能数</t>
    </r>
  </si>
  <si>
    <t xml:space="preserve">  完了</t>
  </si>
  <si>
    <t xml:space="preserve">  作業中</t>
  </si>
  <si>
    <t xml:space="preserve">  未着手</t>
  </si>
  <si>
    <r>
      <rPr>
        <b val="true"/>
        <sz val="10"/>
        <rFont val="Yu Gothic"/>
        <family val="3"/>
        <charset val="128"/>
      </rPr>
      <t xml:space="preserve">Phase1</t>
    </r>
    <r>
      <rPr>
        <b val="true"/>
        <sz val="10"/>
        <rFont val="Noto Sans CJK SC"/>
        <family val="2"/>
      </rPr>
      <t xml:space="preserve">の進捗率</t>
    </r>
    <r>
      <rPr>
        <b val="true"/>
        <sz val="10"/>
        <rFont val="Yu Gothic"/>
        <family val="3"/>
        <charset val="128"/>
      </rPr>
      <t xml:space="preserve">(</t>
    </r>
    <r>
      <rPr>
        <b val="true"/>
        <sz val="10"/>
        <rFont val="Noto Sans CJK SC"/>
        <family val="2"/>
      </rPr>
      <t xml:space="preserve">完了 </t>
    </r>
    <r>
      <rPr>
        <b val="true"/>
        <sz val="10"/>
        <rFont val="Yu Gothic"/>
        <family val="3"/>
        <charset val="128"/>
      </rPr>
      <t xml:space="preserve">÷ Phase1</t>
    </r>
    <r>
      <rPr>
        <b val="true"/>
        <sz val="10"/>
        <rFont val="Noto Sans CJK SC"/>
        <family val="2"/>
      </rPr>
      <t xml:space="preserve">の機能数</t>
    </r>
    <r>
      <rPr>
        <b val="true"/>
        <sz val="10"/>
        <rFont val="Yu Gothic"/>
        <family val="3"/>
        <charset val="128"/>
      </rPr>
      <t xml:space="preserve">)</t>
    </r>
  </si>
  <si>
    <r>
      <rPr>
        <b val="true"/>
        <sz val="10"/>
        <rFont val="Yu Gothic"/>
        <family val="3"/>
        <charset val="128"/>
      </rPr>
      <t xml:space="preserve">Phase2</t>
    </r>
    <r>
      <rPr>
        <b val="true"/>
        <sz val="10"/>
        <rFont val="Noto Sans CJK SC"/>
        <family val="2"/>
      </rPr>
      <t xml:space="preserve">の機能数</t>
    </r>
  </si>
  <si>
    <t xml:space="preserve">対象外の機能数</t>
  </si>
  <si>
    <t xml:space="preserve">教材の17機能のカバー数</t>
  </si>
  <si>
    <t xml:space="preserve">教材レッスンが「要確認」の機能数</t>
  </si>
  <si>
    <t xml:space="preserve">未決の確認事項</t>
  </si>
  <si>
    <r>
      <rPr>
        <b val="true"/>
        <sz val="10"/>
        <rFont val="Yu Gothic"/>
        <family val="3"/>
        <charset val="128"/>
      </rPr>
      <t xml:space="preserve">AWS</t>
    </r>
    <r>
      <rPr>
        <b val="true"/>
        <sz val="10"/>
        <rFont val="Noto Sans CJK SC"/>
        <family val="2"/>
      </rPr>
      <t xml:space="preserve">公開の予定日</t>
    </r>
  </si>
  <si>
    <r>
      <rPr>
        <b val="true"/>
        <sz val="10"/>
        <rFont val="Yu Gothic"/>
        <family val="3"/>
        <charset val="128"/>
      </rPr>
      <t xml:space="preserve">Phase1</t>
    </r>
    <r>
      <rPr>
        <b val="true"/>
        <sz val="10"/>
        <rFont val="Noto Sans CJK SC"/>
        <family val="2"/>
      </rPr>
      <t xml:space="preserve">完了の予定日</t>
    </r>
  </si>
  <si>
    <r>
      <rPr>
        <b val="true"/>
        <sz val="10"/>
        <rFont val="Yu Gothic"/>
        <family val="3"/>
        <charset val="128"/>
      </rPr>
      <t xml:space="preserve">Phase2</t>
    </r>
    <r>
      <rPr>
        <b val="true"/>
        <sz val="10"/>
        <rFont val="Noto Sans CJK SC"/>
        <family val="2"/>
      </rPr>
      <t xml:space="preserve">完了の予定日</t>
    </r>
  </si>
  <si>
    <t xml:space="preserve">残りの合計見積(予備込み・h)</t>
  </si>
  <si>
    <r>
      <rPr>
        <b val="true"/>
        <sz val="10"/>
        <color rgb="FFFFFFFF"/>
        <rFont val="Yu Gothic"/>
        <family val="3"/>
        <charset val="128"/>
      </rPr>
      <t xml:space="preserve">3. </t>
    </r>
    <r>
      <rPr>
        <b val="true"/>
        <sz val="10"/>
        <color rgb="FFFFFFFF"/>
        <rFont val="Noto Sans CJK SC"/>
        <family val="2"/>
      </rPr>
      <t xml:space="preserve">更新履歴</t>
    </r>
  </si>
  <si>
    <t xml:space="preserve">0.5(2026/10/26)</t>
  </si>
  <si>
    <t xml:space="preserve">テーブル定義を、Lesson 06 で作成したマイグレーションの内容に更新(categories・message_boards を追加、日時と削除フラグを timestamps()・softDeletes() に、外部キーを foreignId()-&gt;constrained() で作成)。「マイグレーション」列を追加し、作成済み/未作成(カート・注文)を区別。会員をroleで分けない形に決定し、出品者専用の登録(F-009)を対象外に。在庫は1点もの(フリマ型)として扱うことに決定(Q-004)</t>
  </si>
  <si>
    <t xml:space="preserve">0.4(2026/10/21)</t>
  </si>
  <si>
    <t xml:space="preserve">フルスクラッチ練習の方針を追加(学習の進め方)。稼働カレンダーに再現練習の時間を追加し、開発に使う時間で日程を再計算。起算日を2026/10/22に変更。Lesson 01〜06の状況を更新</t>
  </si>
  <si>
    <t xml:space="preserve">0.3(2026/10/17)</t>
  </si>
  <si>
    <t xml:space="preserve">連絡掲示板(Lesson 23)を追加(F-024、画面S-018〜S-020、messagesテーブル、Q-011)。教材レッスンの列を追加し、スケジュールを教材のレッスン順に組み替え。教材の内容に合わせて、プロフィール・パスワード系・お気に入りなどをPhase1に移動</t>
  </si>
  <si>
    <t xml:space="preserve">0.2(2026/10/16)</t>
  </si>
  <si>
    <t xml:space="preserve">出品者が複数いる前提に変更(Q-001決定)。出品者向けの画面・テーブル・非機能要件を追加。見積工数と稼働カレンダーによる日程を追加</t>
  </si>
  <si>
    <t xml:space="preserve">0.1(2026/10/16)</t>
  </si>
  <si>
    <t xml:space="preserve">初版。教材の17機能との対応を含めて作成</t>
  </si>
  <si>
    <t xml:space="preserve">機能要件一覧</t>
  </si>
  <si>
    <t xml:space="preserve">黄色のセルが編集用です。「教材の機能」はLesson 01の17機能との対応、「教材レッスン」は作るときに見るレッスンです。「要確認」は、Lesson 12〜14などの内容が分かった時点で更新します。</t>
  </si>
  <si>
    <t xml:space="preserve">機能ID</t>
  </si>
  <si>
    <t xml:space="preserve">大分類</t>
  </si>
  <si>
    <t xml:space="preserve">機能名</t>
  </si>
  <si>
    <t xml:space="preserve">機能概要</t>
  </si>
  <si>
    <t xml:space="preserve">優先度</t>
  </si>
  <si>
    <t xml:space="preserve">フェーズ</t>
  </si>
  <si>
    <t xml:space="preserve">教材の機能</t>
  </si>
  <si>
    <t xml:space="preserve">教材レッスン</t>
  </si>
  <si>
    <t xml:space="preserve">受入条件</t>
  </si>
  <si>
    <t xml:space="preserve">想定ブランチ</t>
  </si>
  <si>
    <t xml:space="preserve">状況</t>
  </si>
  <si>
    <t xml:space="preserve">備考</t>
  </si>
  <si>
    <t xml:space="preserve">F-001</t>
  </si>
  <si>
    <t xml:space="preserve">会員管理</t>
  </si>
  <si>
    <t xml:space="preserve">ユーザー登録</t>
  </si>
  <si>
    <t xml:space="preserve">メールアドレスとパスワードで会員登録する</t>
  </si>
  <si>
    <t xml:space="preserve">ゲスト</t>
  </si>
  <si>
    <t xml:space="preserve">高</t>
  </si>
  <si>
    <t xml:space="preserve">Phase1</t>
  </si>
  <si>
    <r>
      <rPr>
        <sz val="10"/>
        <rFont val="Yu Gothic"/>
        <family val="3"/>
        <charset val="128"/>
      </rPr>
      <t xml:space="preserve">1. </t>
    </r>
    <r>
      <rPr>
        <sz val="10"/>
        <rFont val="Noto Sans CJK SC"/>
        <family val="2"/>
      </rPr>
      <t xml:space="preserve">ユーザー登録</t>
    </r>
  </si>
  <si>
    <r>
      <rPr>
        <sz val="10"/>
        <rFont val="Yu Gothic"/>
        <family val="3"/>
        <charset val="128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10</t>
    </r>
  </si>
  <si>
    <t xml:space="preserve">名前・メール・パスワードを入力して登録でき、登録後にログイン状態になる。メールの重複や入力不備ではエラーが表示される。</t>
  </si>
  <si>
    <t xml:space="preserve">feature/auth</t>
  </si>
  <si>
    <t xml:space="preserve">未着手</t>
  </si>
  <si>
    <t xml:space="preserve">認証の実装方法はQ-005で決定</t>
  </si>
  <si>
    <t xml:space="preserve">F-002</t>
  </si>
  <si>
    <t xml:space="preserve">ログイン</t>
  </si>
  <si>
    <t xml:space="preserve">登録済みのメールアドレスとパスワードでログインする</t>
  </si>
  <si>
    <r>
      <rPr>
        <sz val="10"/>
        <rFont val="Yu Gothic"/>
        <family val="3"/>
        <charset val="128"/>
      </rPr>
      <t xml:space="preserve">2. </t>
    </r>
    <r>
      <rPr>
        <sz val="10"/>
        <rFont val="Noto Sans CJK SC"/>
        <family val="2"/>
      </rPr>
      <t xml:space="preserve">ログイン</t>
    </r>
  </si>
  <si>
    <t xml:space="preserve">Lesson 11</t>
  </si>
  <si>
    <t xml:space="preserve">正しい入力でログインでき、誤った入力ではエラーが表示される。</t>
  </si>
  <si>
    <t xml:space="preserve">F-003</t>
  </si>
  <si>
    <t xml:space="preserve">ログアウト</t>
  </si>
  <si>
    <t xml:space="preserve">ログイン中の会員がログアウトする</t>
  </si>
  <si>
    <t xml:space="preserve">会員</t>
  </si>
  <si>
    <r>
      <rPr>
        <sz val="10"/>
        <rFont val="Yu Gothic"/>
        <family val="3"/>
        <charset val="128"/>
      </rPr>
      <t xml:space="preserve">3. </t>
    </r>
    <r>
      <rPr>
        <sz val="10"/>
        <rFont val="Noto Sans CJK SC"/>
        <family val="2"/>
      </rPr>
      <t xml:space="preserve">ログアウト</t>
    </r>
  </si>
  <si>
    <t xml:space="preserve">要確認</t>
  </si>
  <si>
    <t xml:space="preserve">ログアウト後は、会員専用の画面(カート・注文)に入れない。</t>
  </si>
  <si>
    <r>
      <rPr>
        <sz val="10"/>
        <rFont val="Yu Gothic"/>
        <family val="3"/>
        <charset val="128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14</t>
    </r>
    <r>
      <rPr>
        <sz val="10"/>
        <rFont val="Noto Sans CJK SC"/>
        <family val="2"/>
      </rPr>
      <t xml:space="preserve">のどれかに入っている想定</t>
    </r>
  </si>
  <si>
    <t xml:space="preserve">F-004</t>
  </si>
  <si>
    <t xml:space="preserve">プロフィール登録</t>
  </si>
  <si>
    <t xml:space="preserve">住所・電話番号など、名前以外の会員情報を登録する</t>
  </si>
  <si>
    <t xml:space="preserve">中</t>
  </si>
  <si>
    <r>
      <rPr>
        <sz val="10"/>
        <rFont val="Yu Gothic"/>
        <family val="3"/>
        <charset val="128"/>
      </rPr>
      <t xml:space="preserve">5. </t>
    </r>
    <r>
      <rPr>
        <sz val="10"/>
        <rFont val="Noto Sans CJK SC"/>
        <family val="2"/>
      </rPr>
      <t xml:space="preserve">プロフィール登録</t>
    </r>
  </si>
  <si>
    <t xml:space="preserve">入力した内容が保存され、あとから確認できる。</t>
  </si>
  <si>
    <t xml:space="preserve">feature/profile</t>
  </si>
  <si>
    <t xml:space="preserve">配送先の扱いはQ-003で決定</t>
  </si>
  <si>
    <t xml:space="preserve">F-005</t>
  </si>
  <si>
    <t xml:space="preserve">プロフィール編集</t>
  </si>
  <si>
    <t xml:space="preserve">登録したプロフィールを変更する</t>
  </si>
  <si>
    <r>
      <rPr>
        <sz val="10"/>
        <rFont val="Yu Gothic"/>
        <family val="3"/>
        <charset val="128"/>
      </rPr>
      <t xml:space="preserve">6. </t>
    </r>
    <r>
      <rPr>
        <sz val="10"/>
        <rFont val="Noto Sans CJK SC"/>
        <family val="2"/>
      </rPr>
      <t xml:space="preserve">プロフィール編集</t>
    </r>
  </si>
  <si>
    <t xml:space="preserve">変更した内容が保存され、画面に反映される。</t>
  </si>
  <si>
    <t xml:space="preserve">F-006</t>
  </si>
  <si>
    <t xml:space="preserve">パスワード変更</t>
  </si>
  <si>
    <t xml:space="preserve">ログイン中にパスワードを変更する</t>
  </si>
  <si>
    <t xml:space="preserve">低</t>
  </si>
  <si>
    <r>
      <rPr>
        <sz val="10"/>
        <rFont val="Yu Gothic"/>
        <family val="3"/>
        <charset val="128"/>
      </rPr>
      <t xml:space="preserve">7. </t>
    </r>
    <r>
      <rPr>
        <sz val="10"/>
        <rFont val="Noto Sans CJK SC"/>
        <family val="2"/>
      </rPr>
      <t xml:space="preserve">パスワード変更</t>
    </r>
  </si>
  <si>
    <t xml:space="preserve">Lesson 15</t>
  </si>
  <si>
    <t xml:space="preserve">現在のパスワードを入力して変更でき、変更後は新しいパスワードでログインできる。</t>
  </si>
  <si>
    <t xml:space="preserve">feature/password</t>
  </si>
  <si>
    <t xml:space="preserve">F-007</t>
  </si>
  <si>
    <t xml:space="preserve">パスワードリマインダー</t>
  </si>
  <si>
    <t xml:space="preserve">パスワードを忘れたときに再設定する</t>
  </si>
  <si>
    <r>
      <rPr>
        <sz val="10"/>
        <rFont val="Yu Gothic"/>
        <family val="3"/>
        <charset val="128"/>
      </rPr>
      <t xml:space="preserve">8. </t>
    </r>
    <r>
      <rPr>
        <sz val="10"/>
        <rFont val="Noto Sans CJK SC"/>
        <family val="2"/>
      </rPr>
      <t xml:space="preserve">パスワードリマインダー</t>
    </r>
  </si>
  <si>
    <t xml:space="preserve">Lesson 16</t>
  </si>
  <si>
    <t xml:space="preserve">登録メールアドレス宛の案内から、パスワードを再設定できる。</t>
  </si>
  <si>
    <t xml:space="preserve">メール送信が必要。F-022(メール通知)は対象外だが、再設定メールの送信だけは別に必要(Q-008)</t>
  </si>
  <si>
    <t xml:space="preserve">F-008</t>
  </si>
  <si>
    <t xml:space="preserve">退会</t>
  </si>
  <si>
    <t xml:space="preserve">会員が自分のアカウントを削除(退会)する</t>
  </si>
  <si>
    <r>
      <rPr>
        <sz val="10"/>
        <rFont val="Yu Gothic"/>
        <family val="3"/>
        <charset val="128"/>
      </rPr>
      <t xml:space="preserve">4. </t>
    </r>
    <r>
      <rPr>
        <sz val="10"/>
        <rFont val="Noto Sans CJK SC"/>
        <family val="2"/>
      </rPr>
      <t xml:space="preserve">退会</t>
    </r>
  </si>
  <si>
    <t xml:space="preserve">退会後は、そのアカウントでログインできない。</t>
  </si>
  <si>
    <t xml:space="preserve">feature/withdraw</t>
  </si>
  <si>
    <t xml:space="preserve">注文履歴の扱い(残す/消す)を決める必要あり</t>
  </si>
  <si>
    <t xml:space="preserve">F-009</t>
  </si>
  <si>
    <t xml:space="preserve">出品者機能</t>
  </si>
  <si>
    <t xml:space="preserve">販売側ユーザー登録</t>
  </si>
  <si>
    <t xml:space="preserve">出品者として登録する</t>
  </si>
  <si>
    <t xml:space="preserve">対象外</t>
  </si>
  <si>
    <r>
      <rPr>
        <sz val="10"/>
        <rFont val="Yu Gothic"/>
        <family val="3"/>
        <charset val="128"/>
      </rPr>
      <t xml:space="preserve">9. </t>
    </r>
    <r>
      <rPr>
        <sz val="10"/>
        <rFont val="Noto Sans CJK SC"/>
        <family val="2"/>
      </rPr>
      <t xml:space="preserve">販売側ユーザー登録</t>
    </r>
  </si>
  <si>
    <t xml:space="preserve">出品者として登録でき、出品者向けの画面を使える。</t>
  </si>
  <si>
    <t xml:space="preserve">feature/seller</t>
  </si>
  <si>
    <t xml:space="preserve">会員はroleで分けず、会員登録した人は誰でも出品できるため、出品者専用の登録は作らない(Q-001)</t>
  </si>
  <si>
    <t xml:space="preserve">F-010</t>
  </si>
  <si>
    <t xml:space="preserve">商品</t>
  </si>
  <si>
    <t xml:space="preserve">商品一覧表示</t>
  </si>
  <si>
    <t xml:space="preserve">商品を一覧で表示する</t>
  </si>
  <si>
    <t xml:space="preserve">ゲスト/会員</t>
  </si>
  <si>
    <r>
      <rPr>
        <sz val="10"/>
        <rFont val="Yu Gothic"/>
        <family val="3"/>
        <charset val="128"/>
      </rPr>
      <t xml:space="preserve">14. </t>
    </r>
    <r>
      <rPr>
        <sz val="10"/>
        <rFont val="Noto Sans CJK SC"/>
        <family val="2"/>
      </rPr>
      <t xml:space="preserve">コンテンツ一覧表示</t>
    </r>
  </si>
  <si>
    <t xml:space="preserve">Lesson 20</t>
  </si>
  <si>
    <t xml:space="preserve">商品の名前と価格が表示される。件数が多い場合はページ分割される。</t>
  </si>
  <si>
    <t xml:space="preserve">feature/product-list</t>
  </si>
  <si>
    <t xml:space="preserve">教材順では商品登録の後に作るため、表示するデータは商品登録で用意する(Q-009)</t>
  </si>
  <si>
    <t xml:space="preserve">F-011</t>
  </si>
  <si>
    <t xml:space="preserve">商品詳細表示</t>
  </si>
  <si>
    <r>
      <rPr>
        <sz val="10"/>
        <rFont val="Yu Gothic"/>
        <family val="3"/>
        <charset val="128"/>
      </rPr>
      <t xml:space="preserve">1</t>
    </r>
    <r>
      <rPr>
        <sz val="10"/>
        <rFont val="Noto Sans CJK SC"/>
        <family val="2"/>
      </rPr>
      <t xml:space="preserve">つの商品の説明・価格を表示し、カートに入れる</t>
    </r>
  </si>
  <si>
    <r>
      <rPr>
        <sz val="10"/>
        <rFont val="Yu Gothic"/>
        <family val="3"/>
        <charset val="128"/>
      </rPr>
      <t xml:space="preserve">15. </t>
    </r>
    <r>
      <rPr>
        <sz val="10"/>
        <rFont val="Noto Sans CJK SC"/>
        <family val="2"/>
      </rPr>
      <t xml:space="preserve">コンテンツ詳細表示</t>
    </r>
  </si>
  <si>
    <t xml:space="preserve">Lesson 21</t>
  </si>
  <si>
    <t xml:space="preserve">一覧から選ぶと、商品名・説明・価格と「カートに入れる」ボタンが表示される。</t>
  </si>
  <si>
    <t xml:space="preserve">feature/product-detail</t>
  </si>
  <si>
    <t xml:space="preserve">F-012</t>
  </si>
  <si>
    <t xml:space="preserve">商品検索</t>
  </si>
  <si>
    <t xml:space="preserve">キーワードで商品を絞り込む</t>
  </si>
  <si>
    <r>
      <rPr>
        <sz val="10"/>
        <rFont val="Yu Gothic"/>
        <family val="3"/>
        <charset val="128"/>
      </rPr>
      <t xml:space="preserve">16. </t>
    </r>
    <r>
      <rPr>
        <sz val="10"/>
        <rFont val="Noto Sans CJK SC"/>
        <family val="2"/>
      </rPr>
      <t xml:space="preserve">コンテンツ検索</t>
    </r>
  </si>
  <si>
    <t xml:space="preserve">Lesson 22</t>
  </si>
  <si>
    <t xml:space="preserve">キーワードに一致する商品だけが表示される。一致がない場合はその旨が表示される。</t>
  </si>
  <si>
    <t xml:space="preserve">feature/search</t>
  </si>
  <si>
    <t xml:space="preserve">F-013</t>
  </si>
  <si>
    <t xml:space="preserve">お気に入り登録</t>
  </si>
  <si>
    <t xml:space="preserve">気に入った商品を登録し、一覧で見る</t>
  </si>
  <si>
    <r>
      <rPr>
        <sz val="10"/>
        <rFont val="Yu Gothic"/>
        <family val="3"/>
        <charset val="128"/>
      </rPr>
      <t xml:space="preserve">17. </t>
    </r>
    <r>
      <rPr>
        <sz val="10"/>
        <rFont val="Noto Sans CJK SC"/>
        <family val="2"/>
      </rPr>
      <t xml:space="preserve">お気に入り登録</t>
    </r>
  </si>
  <si>
    <t xml:space="preserve">Lesson 24</t>
  </si>
  <si>
    <t xml:space="preserve">商品をお気に入りに追加・解除でき、お気に入り一覧で確認できる。</t>
  </si>
  <si>
    <t xml:space="preserve">feature/favorites</t>
  </si>
  <si>
    <t xml:space="preserve">F-014</t>
  </si>
  <si>
    <t xml:space="preserve">カート・注文</t>
  </si>
  <si>
    <t xml:space="preserve">カート</t>
  </si>
  <si>
    <t xml:space="preserve">商品をカートに入れ、削除する(1点ものなので数量は常に1)</t>
  </si>
  <si>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教材外</t>
    </r>
    <r>
      <rPr>
        <sz val="10"/>
        <rFont val="Yu Gothic"/>
        <family val="3"/>
        <charset val="128"/>
      </rPr>
      <t xml:space="preserve">)</t>
    </r>
  </si>
  <si>
    <t xml:space="preserve">-</t>
  </si>
  <si>
    <t xml:space="preserve">商品を追加でき、数量の変更と削除ができる。合計金額が正しく表示される。</t>
  </si>
  <si>
    <t xml:space="preserve">feature/cart</t>
  </si>
  <si>
    <t xml:space="preserve">未ログイン時はログイン画面へ誘導(案)。教材にない部分なのでLesson 25のあとに作る</t>
  </si>
  <si>
    <t xml:space="preserve">F-015</t>
  </si>
  <si>
    <t xml:space="preserve">注文確定(決済なし)</t>
  </si>
  <si>
    <t xml:space="preserve">カートの内容で注文を確定し、保存する</t>
  </si>
  <si>
    <t xml:space="preserve">注文の明細と合計金額が保存され、完了画面が表示される。確定後はカートが空になる。</t>
  </si>
  <si>
    <t xml:space="preserve">feature/order</t>
  </si>
  <si>
    <t xml:space="preserve">決済はF-017(対象外)。複数の出品者の商品を1回の注文に含められる(Q-010)</t>
  </si>
  <si>
    <t xml:space="preserve">F-016</t>
  </si>
  <si>
    <t xml:space="preserve">注文履歴表示</t>
  </si>
  <si>
    <t xml:space="preserve">自分の過去の注文を一覧・詳細で確認する</t>
  </si>
  <si>
    <t xml:space="preserve">Phase2</t>
  </si>
  <si>
    <t xml:space="preserve">自分の注文だけが日付順に表示され、明細を確認できる。</t>
  </si>
  <si>
    <t xml:space="preserve">feature/order-history</t>
  </si>
  <si>
    <t xml:space="preserve">マイページ(Q-012)に入れる場合は、Phase1に移す</t>
  </si>
  <si>
    <t xml:space="preserve">F-017</t>
  </si>
  <si>
    <t xml:space="preserve">決済(クレジットカード)</t>
  </si>
  <si>
    <t xml:space="preserve">外部の決済サービスと連携して支払う</t>
  </si>
  <si>
    <r>
      <rPr>
        <sz val="10"/>
        <rFont val="Yu Gothic"/>
        <family val="3"/>
        <charset val="128"/>
      </rPr>
      <t xml:space="preserve">10. </t>
    </r>
    <r>
      <rPr>
        <sz val="10"/>
        <rFont val="Noto Sans CJK SC"/>
        <family val="2"/>
      </rPr>
      <t xml:space="preserve">決済</t>
    </r>
  </si>
  <si>
    <t xml:space="preserve">外部サービスとの連携が必要で工数が大きい。今回は注文確定までとする(Q-002)</t>
  </si>
  <si>
    <t xml:space="preserve">F-018</t>
  </si>
  <si>
    <t xml:space="preserve">商品登録</t>
  </si>
  <si>
    <t xml:space="preserve">出品者が自分の商品を登録する</t>
  </si>
  <si>
    <t xml:space="preserve">出品者</t>
  </si>
  <si>
    <r>
      <rPr>
        <sz val="10"/>
        <rFont val="Yu Gothic"/>
        <family val="3"/>
        <charset val="128"/>
      </rPr>
      <t xml:space="preserve">11. </t>
    </r>
    <r>
      <rPr>
        <sz val="10"/>
        <rFont val="Noto Sans CJK SC"/>
        <family val="2"/>
      </rPr>
      <t xml:space="preserve">コンテンツ登録</t>
    </r>
  </si>
  <si>
    <r>
      <rPr>
        <sz val="10"/>
        <rFont val="Yu Gothic"/>
        <family val="3"/>
        <charset val="128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19</t>
    </r>
  </si>
  <si>
    <t xml:space="preserve">入力した商品が保存され、商品一覧に表示される。入力不備ではエラーが表示される。</t>
  </si>
  <si>
    <t xml:space="preserve">feature/product-register</t>
  </si>
  <si>
    <t xml:space="preserve">商品は登録した出品者に紐づく。画像の保存先はQ-006で決定</t>
  </si>
  <si>
    <t xml:space="preserve">F-019</t>
  </si>
  <si>
    <t xml:space="preserve">商品編集</t>
  </si>
  <si>
    <t xml:space="preserve">出品者が自分の商品情報を編集する</t>
  </si>
  <si>
    <r>
      <rPr>
        <sz val="10"/>
        <rFont val="Yu Gothic"/>
        <family val="3"/>
        <charset val="128"/>
      </rPr>
      <t xml:space="preserve">12. </t>
    </r>
    <r>
      <rPr>
        <sz val="10"/>
        <rFont val="Noto Sans CJK SC"/>
        <family val="2"/>
      </rPr>
      <t xml:space="preserve">コンテンツ編集</t>
    </r>
  </si>
  <si>
    <t xml:space="preserve">自分の商品だけ編集でき、変更が一覧・詳細に反映される。他の出品者の商品は編集できない。</t>
  </si>
  <si>
    <r>
      <rPr>
        <sz val="10"/>
        <rFont val="Yu Gothic"/>
        <family val="3"/>
        <charset val="128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19</t>
    </r>
    <r>
      <rPr>
        <sz val="10"/>
        <rFont val="Noto Sans CJK SC"/>
        <family val="2"/>
      </rPr>
      <t xml:space="preserve">または</t>
    </r>
    <r>
      <rPr>
        <sz val="10"/>
        <rFont val="Yu Gothic"/>
        <family val="3"/>
        <charset val="128"/>
      </rPr>
      <t xml:space="preserve">Lesson 25</t>
    </r>
    <r>
      <rPr>
        <sz val="10"/>
        <rFont val="Noto Sans CJK SC"/>
        <family val="2"/>
      </rPr>
      <t xml:space="preserve">に入っている想定</t>
    </r>
  </si>
  <si>
    <t xml:space="preserve">F-020</t>
  </si>
  <si>
    <t xml:space="preserve">商品削除</t>
  </si>
  <si>
    <t xml:space="preserve">出品者が自分の商品を削除する</t>
  </si>
  <si>
    <r>
      <rPr>
        <sz val="10"/>
        <rFont val="Yu Gothic"/>
        <family val="3"/>
        <charset val="128"/>
      </rPr>
      <t xml:space="preserve">13. </t>
    </r>
    <r>
      <rPr>
        <sz val="10"/>
        <rFont val="Noto Sans CJK SC"/>
        <family val="2"/>
      </rPr>
      <t xml:space="preserve">コンテンツ削除</t>
    </r>
  </si>
  <si>
    <t xml:space="preserve">自分の商品だけ削除でき、削除した商品は一覧に表示されなくなる。</t>
  </si>
  <si>
    <t xml:space="preserve">注文済みの商品を削除した場合の扱いを決める</t>
  </si>
  <si>
    <t xml:space="preserve">F-021</t>
  </si>
  <si>
    <t xml:space="preserve">その他</t>
  </si>
  <si>
    <t xml:space="preserve">在庫管理</t>
  </si>
  <si>
    <t xml:space="preserve">在庫数の管理、注文時の減算</t>
  </si>
  <si>
    <t xml:space="preserve">1点もの(フリマ型)として扱うため、在庫数は持たない(Q-004)</t>
  </si>
  <si>
    <t xml:space="preserve">F-022</t>
  </si>
  <si>
    <t xml:space="preserve">メール通知</t>
  </si>
  <si>
    <t xml:space="preserve">注文完了などのメールを送る</t>
  </si>
  <si>
    <t xml:space="preserve">パスワード再設定メールの送信(F-007)は別に必要(Q-008)</t>
  </si>
  <si>
    <t xml:space="preserve">F-023</t>
  </si>
  <si>
    <t xml:space="preserve">レビュー機能</t>
  </si>
  <si>
    <t xml:space="preserve">商品へのレビュー投稿</t>
  </si>
  <si>
    <t xml:space="preserve">F-024</t>
  </si>
  <si>
    <t xml:space="preserve">問い合わせ</t>
  </si>
  <si>
    <t xml:space="preserve">連絡掲示板</t>
  </si>
  <si>
    <t xml:space="preserve">購入者が商品について出品者に問い合わせ、出品者が返信する</t>
  </si>
  <si>
    <t xml:space="preserve">会員/出品者</t>
  </si>
  <si>
    <r>
      <rPr>
        <sz val="10"/>
        <rFont val="Yu Gothic"/>
        <family val="3"/>
        <charset val="128"/>
      </rPr>
      <t xml:space="preserve">(17</t>
    </r>
    <r>
      <rPr>
        <sz val="10"/>
        <rFont val="Noto Sans CJK SC"/>
        <family val="2"/>
      </rPr>
      <t xml:space="preserve">機能外</t>
    </r>
    <r>
      <rPr>
        <sz val="10"/>
        <rFont val="Yu Gothic"/>
        <family val="3"/>
        <charset val="128"/>
      </rPr>
      <t xml:space="preserve">)</t>
    </r>
  </si>
  <si>
    <t xml:space="preserve">Lesson 23</t>
  </si>
  <si>
    <t xml:space="preserve">購入者が商品詳細から出品者へメッセージを送れる。出品者は問い合わせ一覧から開いて返信できる。その商品の出品者と問い合わせた購入者以外は、やり取りを見られない。</t>
  </si>
  <si>
    <t xml:space="preserve">feature/messages</t>
  </si>
  <si>
    <t xml:space="preserve">商品ごとの、購入者と出品者の1対1(案)。Lesson 23の内容に合わせて見直す(Q-011)</t>
  </si>
  <si>
    <t xml:space="preserve">非機能要件</t>
  </si>
  <si>
    <t xml:space="preserve">黄色のセルが編集用です。「確度」が「案」のものは、決まり次第「確定」に変えてください。</t>
  </si>
  <si>
    <t xml:space="preserve">ID</t>
  </si>
  <si>
    <t xml:space="preserve">区分</t>
  </si>
  <si>
    <t xml:space="preserve">要件</t>
  </si>
  <si>
    <t xml:space="preserve">対応方針</t>
  </si>
  <si>
    <t xml:space="preserve">確度</t>
  </si>
  <si>
    <t xml:space="preserve">NF-001</t>
  </si>
  <si>
    <t xml:space="preserve">セキュリティ</t>
  </si>
  <si>
    <t xml:space="preserve">パスワードを平文で保存しない</t>
  </si>
  <si>
    <r>
      <rPr>
        <sz val="10"/>
        <rFont val="Yu Gothic"/>
        <family val="3"/>
        <charset val="128"/>
      </rPr>
      <t xml:space="preserve">Laravel</t>
    </r>
    <r>
      <rPr>
        <sz val="10"/>
        <rFont val="Noto Sans CJK SC"/>
        <family val="2"/>
      </rPr>
      <t xml:space="preserve">のハッシュ機能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で保存する</t>
    </r>
  </si>
  <si>
    <t xml:space="preserve">確定</t>
  </si>
  <si>
    <t xml:space="preserve">NF-002</t>
  </si>
  <si>
    <t xml:space="preserve">フォーム送信時のCSRF対策</t>
  </si>
  <si>
    <r>
      <rPr>
        <sz val="10"/>
        <rFont val="Yu Gothic"/>
        <family val="3"/>
        <charset val="128"/>
      </rPr>
      <t xml:space="preserve">Laravel</t>
    </r>
    <r>
      <rPr>
        <sz val="10"/>
        <rFont val="Noto Sans CJK SC"/>
        <family val="2"/>
      </rPr>
      <t xml:space="preserve">標準の仕組みを、すべての送信フォームで有効にする</t>
    </r>
  </si>
  <si>
    <t xml:space="preserve">NF-003</t>
  </si>
  <si>
    <r>
      <rPr>
        <sz val="10"/>
        <rFont val="Yu Gothic"/>
        <family val="3"/>
        <charset val="128"/>
      </rPr>
      <t xml:space="preserve">SQL</t>
    </r>
    <r>
      <rPr>
        <sz val="10"/>
        <rFont val="Noto Sans CJK SC"/>
        <family val="2"/>
      </rPr>
      <t xml:space="preserve">インジェクション対策</t>
    </r>
  </si>
  <si>
    <r>
      <rPr>
        <sz val="10"/>
        <rFont val="Yu Gothic"/>
        <family val="3"/>
        <charset val="128"/>
      </rPr>
      <t xml:space="preserve">Eloquent</t>
    </r>
    <r>
      <rPr>
        <sz val="10"/>
        <rFont val="Noto Sans CJK SC"/>
        <family val="2"/>
      </rPr>
      <t xml:space="preserve">またはクエリビルダを使い、</t>
    </r>
    <r>
      <rPr>
        <sz val="10"/>
        <rFont val="Yu Gothic"/>
        <family val="3"/>
        <charset val="128"/>
      </rPr>
      <t xml:space="preserve">SQL</t>
    </r>
    <r>
      <rPr>
        <sz val="10"/>
        <rFont val="Noto Sans CJK SC"/>
        <family val="2"/>
      </rPr>
      <t xml:space="preserve">文に入力値を直接埋め込まない</t>
    </r>
  </si>
  <si>
    <t xml:space="preserve">NF-004</t>
  </si>
  <si>
    <t xml:space="preserve">秘密情報の管理</t>
  </si>
  <si>
    <r>
      <rPr>
        <sz val="10"/>
        <rFont val="Yu Gothic"/>
        <family val="3"/>
        <charset val="128"/>
      </rPr>
      <t xml:space="preserve">.env</t>
    </r>
    <r>
      <rPr>
        <sz val="10"/>
        <rFont val="Noto Sans CJK SC"/>
        <family val="2"/>
      </rPr>
      <t xml:space="preserve">を</t>
    </r>
    <r>
      <rPr>
        <sz val="10"/>
        <rFont val="Yu Gothic"/>
        <family val="3"/>
        <charset val="128"/>
      </rPr>
      <t xml:space="preserve">Git</t>
    </r>
    <r>
      <rPr>
        <sz val="10"/>
        <rFont val="Noto Sans CJK SC"/>
        <family val="2"/>
      </rPr>
      <t xml:space="preserve">管理しない。本番用の</t>
    </r>
    <r>
      <rPr>
        <sz val="10"/>
        <rFont val="Yu Gothic"/>
        <family val="3"/>
        <charset val="128"/>
      </rPr>
      <t xml:space="preserve">.env</t>
    </r>
    <r>
      <rPr>
        <sz val="10"/>
        <rFont val="Noto Sans CJK SC"/>
        <family val="2"/>
      </rPr>
      <t xml:space="preserve">はサーバー上で別に作成する</t>
    </r>
  </si>
  <si>
    <r>
      <rPr>
        <sz val="10"/>
        <rFont val="Yu Gothic"/>
        <family val="3"/>
        <charset val="128"/>
      </rPr>
      <t xml:space="preserve">DB</t>
    </r>
    <r>
      <rPr>
        <sz val="10"/>
        <rFont val="Noto Sans CJK SC"/>
        <family val="2"/>
      </rPr>
      <t xml:space="preserve">パスワード、</t>
    </r>
    <r>
      <rPr>
        <sz val="10"/>
        <rFont val="Yu Gothic"/>
        <family val="3"/>
        <charset val="128"/>
      </rPr>
      <t xml:space="preserve">APP_KEY</t>
    </r>
    <r>
      <rPr>
        <sz val="10"/>
        <rFont val="Noto Sans CJK SC"/>
        <family val="2"/>
      </rPr>
      <t xml:space="preserve">など</t>
    </r>
  </si>
  <si>
    <t xml:space="preserve">NF-005</t>
  </si>
  <si>
    <t xml:space="preserve">本番でのデバッグ表示の無効化</t>
  </si>
  <si>
    <t xml:space="preserve">本番は APP_ENV=production、APP_DEBUG=false にする</t>
  </si>
  <si>
    <t xml:space="preserve">NF-006</t>
  </si>
  <si>
    <t xml:space="preserve">通信の暗号化</t>
  </si>
  <si>
    <t xml:space="preserve">公開時はHTTPS(独自ドメイン+証明書)で提供する</t>
  </si>
  <si>
    <t xml:space="preserve">案</t>
  </si>
  <si>
    <t xml:space="preserve">公開構成(Q-007)に合わせて確定</t>
  </si>
  <si>
    <t xml:space="preserve">NF-007</t>
  </si>
  <si>
    <t xml:space="preserve">性能</t>
  </si>
  <si>
    <t xml:space="preserve">一覧の表示速度</t>
  </si>
  <si>
    <t xml:space="preserve">商品一覧はページ分割する(1ページあたりの件数は仮に12件)</t>
  </si>
  <si>
    <t xml:space="preserve">NF-008</t>
  </si>
  <si>
    <t xml:space="preserve">運用</t>
  </si>
  <si>
    <r>
      <rPr>
        <sz val="10"/>
        <rFont val="Yu Gothic"/>
        <family val="3"/>
        <charset val="128"/>
      </rPr>
      <t xml:space="preserve">DB</t>
    </r>
    <r>
      <rPr>
        <sz val="10"/>
        <rFont val="Noto Sans CJK SC"/>
        <family val="2"/>
      </rPr>
      <t xml:space="preserve">のバックアップ</t>
    </r>
  </si>
  <si>
    <t xml:space="preserve">本番DBは自動バックアップを有効にする(RDSを使う場合)</t>
  </si>
  <si>
    <r>
      <rPr>
        <sz val="10"/>
        <rFont val="Yu Gothic"/>
        <family val="3"/>
        <charset val="128"/>
      </rPr>
      <t xml:space="preserve">Q-007</t>
    </r>
    <r>
      <rPr>
        <sz val="10"/>
        <rFont val="Noto Sans CJK SC"/>
        <family val="2"/>
      </rPr>
      <t xml:space="preserve">の結果による</t>
    </r>
  </si>
  <si>
    <t xml:space="preserve">NF-009</t>
  </si>
  <si>
    <t xml:space="preserve">エラーの記録</t>
  </si>
  <si>
    <r>
      <rPr>
        <sz val="10"/>
        <rFont val="Yu Gothic"/>
        <family val="3"/>
        <charset val="128"/>
      </rPr>
      <t xml:space="preserve">Laravel</t>
    </r>
    <r>
      <rPr>
        <sz val="10"/>
        <rFont val="Noto Sans CJK SC"/>
        <family val="2"/>
      </rPr>
      <t xml:space="preserve">のログ</t>
    </r>
    <r>
      <rPr>
        <sz val="10"/>
        <rFont val="Yu Gothic"/>
        <family val="3"/>
        <charset val="128"/>
      </rPr>
      <t xml:space="preserve">(storage/logs)</t>
    </r>
    <r>
      <rPr>
        <sz val="10"/>
        <rFont val="Noto Sans CJK SC"/>
        <family val="2"/>
      </rPr>
      <t xml:space="preserve">にエラーを記録する</t>
    </r>
  </si>
  <si>
    <t xml:space="preserve">NF-010</t>
  </si>
  <si>
    <t xml:space="preserve">保守性</t>
  </si>
  <si>
    <t xml:space="preserve">ブランチ運用</t>
  </si>
  <si>
    <r>
      <rPr>
        <sz val="10"/>
        <rFont val="Yu Gothic"/>
        <family val="3"/>
        <charset val="128"/>
      </rPr>
      <t xml:space="preserve">main</t>
    </r>
    <r>
      <rPr>
        <sz val="10"/>
        <rFont val="Noto Sans CJK SC"/>
        <family val="2"/>
      </rPr>
      <t xml:space="preserve">は常に動く状態を保つ。機能ごとに</t>
    </r>
    <r>
      <rPr>
        <sz val="10"/>
        <rFont val="Yu Gothic"/>
        <family val="3"/>
        <charset val="128"/>
      </rPr>
      <t xml:space="preserve">feature</t>
    </r>
    <r>
      <rPr>
        <sz val="10"/>
        <rFont val="Noto Sans CJK SC"/>
        <family val="2"/>
      </rPr>
      <t xml:space="preserve">ブランチを切り、動作確認後にマージする</t>
    </r>
  </si>
  <si>
    <t xml:space="preserve">NF-011</t>
  </si>
  <si>
    <t xml:space="preserve">環境ごとの設定</t>
  </si>
  <si>
    <t xml:space="preserve">開発(ローカル)と本番の違いは.envで吸収する</t>
  </si>
  <si>
    <t xml:space="preserve">NF-012</t>
  </si>
  <si>
    <t xml:space="preserve">動作確認</t>
  </si>
  <si>
    <t xml:space="preserve">主要機能は、受入条件(機能要件一覧)に沿って動作を確認する</t>
  </si>
  <si>
    <t xml:space="preserve">自動テストの導入は余裕があれば</t>
  </si>
  <si>
    <t xml:space="preserve">NF-013</t>
  </si>
  <si>
    <t xml:space="preserve">互換性</t>
  </si>
  <si>
    <t xml:space="preserve">対応ブラウザ</t>
  </si>
  <si>
    <t xml:space="preserve">最新版のChrome・Safari。スマートフォンの画面幅にも対応する(レスポンシブ)</t>
  </si>
  <si>
    <t xml:space="preserve">NF-014</t>
  </si>
  <si>
    <t xml:space="preserve">環境</t>
  </si>
  <si>
    <t xml:space="preserve">実行環境</t>
  </si>
  <si>
    <r>
      <rPr>
        <sz val="10"/>
        <rFont val="Yu Gothic"/>
        <family val="3"/>
        <charset val="128"/>
      </rPr>
      <t xml:space="preserve">PHP 8.3</t>
    </r>
    <r>
      <rPr>
        <sz val="10"/>
        <rFont val="Noto Sans CJK SC"/>
        <family val="2"/>
      </rPr>
      <t xml:space="preserve">以上</t>
    </r>
    <r>
      <rPr>
        <sz val="10"/>
        <rFont val="Yu Gothic"/>
        <family val="3"/>
        <charset val="128"/>
      </rPr>
      <t xml:space="preserve">(Laravel 13</t>
    </r>
    <r>
      <rPr>
        <sz val="10"/>
        <rFont val="Noto Sans CJK SC"/>
        <family val="2"/>
      </rPr>
      <t xml:space="preserve">の要件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3"/>
        <charset val="128"/>
      </rPr>
      <t xml:space="preserve">MySQL</t>
    </r>
    <r>
      <rPr>
        <sz val="10"/>
        <rFont val="Noto Sans CJK SC"/>
        <family val="2"/>
      </rPr>
      <t xml:space="preserve">。ローカルは</t>
    </r>
    <r>
      <rPr>
        <sz val="10"/>
        <rFont val="Yu Gothic"/>
        <family val="3"/>
        <charset val="128"/>
      </rPr>
      <t xml:space="preserve">MAMP</t>
    </r>
  </si>
  <si>
    <t xml:space="preserve">ローカルはPHP 8.4.1を使用</t>
  </si>
  <si>
    <t xml:space="preserve">NF-015</t>
  </si>
  <si>
    <t xml:space="preserve">出品者・購入者の権限管理</t>
  </si>
  <si>
    <t xml:space="preserve">出品者は自分の商品だけ編集・削除できる。連絡掲示板は、その商品の出品者と問い合わせた購入者だけが見られる。Laravelの認可の仕組み(Policy)で、本人かを確認する</t>
  </si>
  <si>
    <t xml:space="preserve">出品者が複数いる前提(Q-001)のため必要</t>
  </si>
  <si>
    <t xml:space="preserve">NF-016</t>
  </si>
  <si>
    <r>
      <rPr>
        <sz val="10"/>
        <rFont val="Yu Gothic"/>
        <family val="3"/>
        <charset val="128"/>
      </rPr>
      <t xml:space="preserve">XSS</t>
    </r>
    <r>
      <rPr>
        <sz val="10"/>
        <rFont val="Noto Sans CJK SC"/>
        <family val="2"/>
      </rPr>
      <t xml:space="preserve">対策</t>
    </r>
  </si>
  <si>
    <t xml:space="preserve">利用者が入力した文章(掲示板・商品説明など)は、Bladeの {{ }} で出力する(自動でエスケープされる)。{!! !!} は使わない</t>
  </si>
  <si>
    <t xml:space="preserve">連絡掲示板で利用者の入力を表示するため</t>
  </si>
  <si>
    <t xml:space="preserve">画面一覧</t>
  </si>
  <si>
    <t xml:space="preserve">黄色のセルが編集用です。「関連機能名」「フェーズ」は、関連機能IDから機能要件一覧を参照して自動表示されます。URLは案です。マイページ(Lesson 25)の画面は、内容が決まってから追加します(Q-012)。</t>
  </si>
  <si>
    <t xml:space="preserve">画面ID</t>
  </si>
  <si>
    <t xml:space="preserve">画面名</t>
  </si>
  <si>
    <r>
      <rPr>
        <b val="true"/>
        <sz val="10"/>
        <color rgb="FFFFFFFF"/>
        <rFont val="Yu Gothic"/>
        <family val="3"/>
        <charset val="128"/>
      </rPr>
      <t xml:space="preserve">URL(</t>
    </r>
    <r>
      <rPr>
        <b val="true"/>
        <sz val="10"/>
        <color rgb="FFFFFFFF"/>
        <rFont val="Noto Sans CJK SC"/>
        <family val="2"/>
      </rPr>
      <t xml:space="preserve">案</t>
    </r>
    <r>
      <rPr>
        <b val="true"/>
        <sz val="10"/>
        <color rgb="FFFFFFFF"/>
        <rFont val="Yu Gothic"/>
        <family val="3"/>
        <charset val="128"/>
      </rPr>
      <t xml:space="preserve">)</t>
    </r>
  </si>
  <si>
    <t xml:space="preserve">認証</t>
  </si>
  <si>
    <t xml:space="preserve">概要</t>
  </si>
  <si>
    <t xml:space="preserve">関連機能ID</t>
  </si>
  <si>
    <t xml:space="preserve">関連機能名</t>
  </si>
  <si>
    <t xml:space="preserve">S-001</t>
  </si>
  <si>
    <t xml:space="preserve">商品一覧</t>
  </si>
  <si>
    <t xml:space="preserve">/products</t>
  </si>
  <si>
    <t xml:space="preserve">不要</t>
  </si>
  <si>
    <t xml:space="preserve">商品を一覧で表示する(トップページ)</t>
  </si>
  <si>
    <t xml:space="preserve">S-002</t>
  </si>
  <si>
    <t xml:space="preserve">商品詳細</t>
  </si>
  <si>
    <t xml:space="preserve">/products/{id}</t>
  </si>
  <si>
    <t xml:space="preserve">商品の説明と、カートに入れるボタン</t>
  </si>
  <si>
    <t xml:space="preserve">S-003</t>
  </si>
  <si>
    <t xml:space="preserve">/cart</t>
  </si>
  <si>
    <t xml:space="preserve">要ログイン</t>
  </si>
  <si>
    <t xml:space="preserve">入れた商品の確認・数量変更・削除</t>
  </si>
  <si>
    <t xml:space="preserve">S-004</t>
  </si>
  <si>
    <t xml:space="preserve">注文確認</t>
  </si>
  <si>
    <t xml:space="preserve">/orders/confirm</t>
  </si>
  <si>
    <t xml:space="preserve">注文内容を確認して確定する</t>
  </si>
  <si>
    <t xml:space="preserve">S-005</t>
  </si>
  <si>
    <t xml:space="preserve">注文完了</t>
  </si>
  <si>
    <t xml:space="preserve">/orders/complete</t>
  </si>
  <si>
    <t xml:space="preserve">注文が完了したことを表示する</t>
  </si>
  <si>
    <t xml:space="preserve">S-006</t>
  </si>
  <si>
    <t xml:space="preserve">会員登録</t>
  </si>
  <si>
    <t xml:space="preserve">/register</t>
  </si>
  <si>
    <t xml:space="preserve">新規会員登録フォーム</t>
  </si>
  <si>
    <t xml:space="preserve">S-007</t>
  </si>
  <si>
    <t xml:space="preserve">/login</t>
  </si>
  <si>
    <t xml:space="preserve">ログインフォーム</t>
  </si>
  <si>
    <t xml:space="preserve">S-008</t>
  </si>
  <si>
    <t xml:space="preserve">/profile</t>
  </si>
  <si>
    <t xml:space="preserve">プロフィールの登録・変更</t>
  </si>
  <si>
    <t xml:space="preserve">S-009</t>
  </si>
  <si>
    <t xml:space="preserve">/password</t>
  </si>
  <si>
    <t xml:space="preserve">ログイン中のパスワード変更</t>
  </si>
  <si>
    <t xml:space="preserve">S-010</t>
  </si>
  <si>
    <t xml:space="preserve">パスワード再設定</t>
  </si>
  <si>
    <t xml:space="preserve">/password/reset</t>
  </si>
  <si>
    <t xml:space="preserve">パスワードを忘れたときの再設定</t>
  </si>
  <si>
    <t xml:space="preserve">S-011</t>
  </si>
  <si>
    <t xml:space="preserve">注文履歴</t>
  </si>
  <si>
    <t xml:space="preserve">/orders</t>
  </si>
  <si>
    <t xml:space="preserve">過去の注文の一覧・詳細</t>
  </si>
  <si>
    <t xml:space="preserve">S-012</t>
  </si>
  <si>
    <t xml:space="preserve">お気に入り一覧</t>
  </si>
  <si>
    <t xml:space="preserve">/favorites</t>
  </si>
  <si>
    <t xml:space="preserve">お気に入りに登録した商品の一覧</t>
  </si>
  <si>
    <t xml:space="preserve">S-013</t>
  </si>
  <si>
    <t xml:space="preserve">退会確認</t>
  </si>
  <si>
    <t xml:space="preserve">/withdraw</t>
  </si>
  <si>
    <t xml:space="preserve">退会の確認と実行</t>
  </si>
  <si>
    <t xml:space="preserve">S-014</t>
  </si>
  <si>
    <t xml:space="preserve">出品者登録</t>
  </si>
  <si>
    <t xml:space="preserve">/seller/register</t>
  </si>
  <si>
    <t xml:space="preserve">出品者として登録するフォーム</t>
  </si>
  <si>
    <t xml:space="preserve">S-015</t>
  </si>
  <si>
    <t xml:space="preserve">出品者:商品一覧</t>
  </si>
  <si>
    <t xml:space="preserve">/seller/products</t>
  </si>
  <si>
    <t xml:space="preserve">自分の商品の一覧・削除</t>
  </si>
  <si>
    <t xml:space="preserve">S-016</t>
  </si>
  <si>
    <t xml:space="preserve">出品者:商品登録</t>
  </si>
  <si>
    <t xml:space="preserve">/seller/products/create</t>
  </si>
  <si>
    <t xml:space="preserve">商品の登録フォーム</t>
  </si>
  <si>
    <t xml:space="preserve">S-017</t>
  </si>
  <si>
    <t xml:space="preserve">出品者:商品編集</t>
  </si>
  <si>
    <t xml:space="preserve">/seller/products/{id}/edit</t>
  </si>
  <si>
    <t xml:space="preserve">商品の編集フォーム</t>
  </si>
  <si>
    <t xml:space="preserve">S-018</t>
  </si>
  <si>
    <t xml:space="preserve">問い合わせ掲示板(購入者)</t>
  </si>
  <si>
    <t xml:space="preserve">/products/{id}/messages</t>
  </si>
  <si>
    <t xml:space="preserve">商品について出品者とやり取りする(案)</t>
  </si>
  <si>
    <t xml:space="preserve">S-019</t>
  </si>
  <si>
    <t xml:space="preserve">出品者:問い合わせ一覧</t>
  </si>
  <si>
    <t xml:space="preserve">/seller/messages</t>
  </si>
  <si>
    <t xml:space="preserve">自分の商品への問い合わせの一覧(案)</t>
  </si>
  <si>
    <t xml:space="preserve">S-020</t>
  </si>
  <si>
    <t xml:space="preserve">出品者:問い合わせ返信</t>
  </si>
  <si>
    <t xml:space="preserve">/seller/messages/{product_id}/{buyer_id}</t>
  </si>
  <si>
    <t xml:space="preserve">問い合わせを開いて返信する(案)</t>
  </si>
  <si>
    <t xml:space="preserve">テーブル定義</t>
  </si>
  <si>
    <t xml:space="preserve">Lesson 06 のマイグレーション(2026/10/26 作成)に合わせて更新しました。「マイグレーション」が未作成のテーブル(カート・注文)は案です。マイグレーションを変えたら、ここも更新してください。</t>
  </si>
  <si>
    <t xml:space="preserve">テーブル名</t>
  </si>
  <si>
    <t xml:space="preserve">カラム名</t>
  </si>
  <si>
    <t xml:space="preserve">型</t>
  </si>
  <si>
    <t xml:space="preserve">NULL</t>
  </si>
  <si>
    <t xml:space="preserve">キー・制約</t>
  </si>
  <si>
    <t xml:space="preserve">説明</t>
  </si>
  <si>
    <t xml:space="preserve">マイグレーション</t>
  </si>
  <si>
    <t xml:space="preserve">users</t>
  </si>
  <si>
    <t xml:space="preserve">id</t>
  </si>
  <si>
    <t xml:space="preserve">bigint unsigned</t>
  </si>
  <si>
    <t xml:space="preserve">NOT NULL</t>
  </si>
  <si>
    <t xml:space="preserve">PK / AUTO_INCREMENT</t>
  </si>
  <si>
    <t xml:space="preserve">会員ID</t>
  </si>
  <si>
    <t xml:space="preserve">作成済み</t>
  </si>
  <si>
    <t xml:space="preserve">name</t>
  </si>
  <si>
    <t xml:space="preserve">varchar(255)</t>
  </si>
  <si>
    <t xml:space="preserve">名前(Laravel標準のUserモデルに合わせた列名)</t>
  </si>
  <si>
    <t xml:space="preserve">age</t>
  </si>
  <si>
    <t xml:space="preserve">int</t>
  </si>
  <si>
    <t xml:space="preserve">年齢</t>
  </si>
  <si>
    <t xml:space="preserve">tel</t>
  </si>
  <si>
    <t xml:space="preserve">電話番号</t>
  </si>
  <si>
    <t xml:space="preserve">zip</t>
  </si>
  <si>
    <t xml:space="preserve">郵便番号(先頭の0を残すため文字列)</t>
  </si>
  <si>
    <t xml:space="preserve">addr</t>
  </si>
  <si>
    <t xml:space="preserve">住所</t>
  </si>
  <si>
    <t xml:space="preserve">email</t>
  </si>
  <si>
    <t xml:space="preserve">UNIQUE</t>
  </si>
  <si>
    <t xml:space="preserve">メールアドレス(ログインID)</t>
  </si>
  <si>
    <t xml:space="preserve">password</t>
  </si>
  <si>
    <t xml:space="preserve">パスワード(ハッシュ化して保存)</t>
  </si>
  <si>
    <t xml:space="preserve">login_time</t>
  </si>
  <si>
    <t xml:space="preserve">datetime</t>
  </si>
  <si>
    <t xml:space="preserve">最終ログイン日時</t>
  </si>
  <si>
    <t xml:space="preserve">pic</t>
  </si>
  <si>
    <t xml:space="preserve">プロフィール画像のパス</t>
  </si>
  <si>
    <t xml:space="preserve">created_at, updated_at</t>
  </si>
  <si>
    <t xml:space="preserve">timestamp</t>
  </si>
  <si>
    <t xml:space="preserve">作成・更新日時(timestamps()。Laravelが自動で入れる)</t>
  </si>
  <si>
    <t xml:space="preserve">deleted_at</t>
  </si>
  <si>
    <t xml:space="preserve">論理削除(softDeletes())。空なら有効、日時が入っていれば削除済み</t>
  </si>
  <si>
    <t xml:space="preserve">sessions</t>
  </si>
  <si>
    <r>
      <rPr>
        <sz val="10"/>
        <rFont val="Yu Gothic"/>
        <family val="3"/>
        <charset val="128"/>
      </rPr>
      <t xml:space="preserve">(Laravel</t>
    </r>
    <r>
      <rPr>
        <sz val="10"/>
        <rFont val="Noto Sans CJK SC"/>
        <family val="2"/>
      </rPr>
      <t xml:space="preserve">標準</t>
    </r>
    <r>
      <rPr>
        <sz val="10"/>
        <rFont val="Yu Gothic"/>
        <family val="3"/>
        <charset val="128"/>
      </rPr>
      <t xml:space="preserve">)</t>
    </r>
  </si>
  <si>
    <t xml:space="preserve">ログイン状態などの保存先。.env の SESSION_DRIVER=database のため必須</t>
  </si>
  <si>
    <t xml:space="preserve">cache / jobs</t>
  </si>
  <si>
    <t xml:space="preserve">Laravelが最初から用意しているテーブル</t>
  </si>
  <si>
    <t xml:space="preserve">categories</t>
  </si>
  <si>
    <t xml:space="preserve">カテゴリID</t>
  </si>
  <si>
    <t xml:space="preserve">カテゴリ名</t>
  </si>
  <si>
    <t xml:space="preserve">products</t>
  </si>
  <si>
    <t xml:space="preserve">商品ID</t>
  </si>
  <si>
    <t xml:space="preserve">商品名</t>
  </si>
  <si>
    <t xml:space="preserve">category_id</t>
  </si>
  <si>
    <t xml:space="preserve">FK → categories.id</t>
  </si>
  <si>
    <t xml:space="preserve">カテゴリ</t>
  </si>
  <si>
    <t xml:space="preserve">comment</t>
  </si>
  <si>
    <t xml:space="preserve">商品説明(255文字まで)</t>
  </si>
  <si>
    <t xml:space="preserve">price</t>
  </si>
  <si>
    <t xml:space="preserve">価格(円)</t>
  </si>
  <si>
    <t xml:space="preserve">pic1</t>
  </si>
  <si>
    <t xml:space="preserve">商品画像1のパス(必須)</t>
  </si>
  <si>
    <t xml:space="preserve">pic2</t>
  </si>
  <si>
    <t xml:space="preserve">商品画像2のパス</t>
  </si>
  <si>
    <t xml:space="preserve">pic3</t>
  </si>
  <si>
    <t xml:space="preserve">商品画像3のパス</t>
  </si>
  <si>
    <t xml:space="preserve">sell_user_id</t>
  </si>
  <si>
    <t xml:space="preserve">FK → users.id</t>
  </si>
  <si>
    <t xml:space="preserve">出品者(商品を登録した会員)</t>
  </si>
  <si>
    <t xml:space="preserve">message_boards</t>
  </si>
  <si>
    <t xml:space="preserve">掲示板ID(販売者と購入者のやり取りの部屋)</t>
  </si>
  <si>
    <t xml:space="preserve">sale_user_id</t>
  </si>
  <si>
    <t xml:space="preserve">販売者</t>
  </si>
  <si>
    <t xml:space="preserve">buy_user_id</t>
  </si>
  <si>
    <t xml:space="preserve">購入者</t>
  </si>
  <si>
    <t xml:space="preserve">product_id</t>
  </si>
  <si>
    <t xml:space="preserve">FK → products.id</t>
  </si>
  <si>
    <t xml:space="preserve">やり取りの対象の商品</t>
  </si>
  <si>
    <t xml:space="preserve">messages</t>
  </si>
  <si>
    <t xml:space="preserve">メッセージID</t>
  </si>
  <si>
    <t xml:space="preserve">board_id</t>
  </si>
  <si>
    <t xml:space="preserve">FK → message_boards.id</t>
  </si>
  <si>
    <t xml:space="preserve">所属する掲示板</t>
  </si>
  <si>
    <t xml:space="preserve">send_date</t>
  </si>
  <si>
    <t xml:space="preserve">送信日時(created_at と役目が重なる。使い道を決めて残すか削除)</t>
  </si>
  <si>
    <t xml:space="preserve">to_user_id</t>
  </si>
  <si>
    <t xml:space="preserve">受信者</t>
  </si>
  <si>
    <t xml:space="preserve">from_user_id</t>
  </si>
  <si>
    <t xml:space="preserve">送信者</t>
  </si>
  <si>
    <t xml:space="preserve">msg</t>
  </si>
  <si>
    <t xml:space="preserve">text</t>
  </si>
  <si>
    <t xml:space="preserve">本文</t>
  </si>
  <si>
    <t xml:space="preserve">favorites</t>
  </si>
  <si>
    <t xml:space="preserve">FK → products.id / PK(product_id, user_id)</t>
  </si>
  <si>
    <t xml:space="preserve">お気に入りされた商品</t>
  </si>
  <si>
    <t xml:space="preserve">user_id</t>
  </si>
  <si>
    <t xml:space="preserve">FK → users.id / PK(product_id, user_id)</t>
  </si>
  <si>
    <t xml:space="preserve">登録した会員。2列の組み合わせが主キーなので、同じ組み合わせは1回だけ</t>
  </si>
  <si>
    <t xml:space="preserve">作成・更新日時(timestamps())</t>
  </si>
  <si>
    <t xml:space="preserve">carts</t>
  </si>
  <si>
    <t xml:space="preserve">カートID</t>
  </si>
  <si>
    <t xml:space="preserve">未作成</t>
  </si>
  <si>
    <t xml:space="preserve">カートの持ち主</t>
  </si>
  <si>
    <t xml:space="preserve">作成・更新日時(Laravel標準)</t>
  </si>
  <si>
    <t xml:space="preserve">cart_items</t>
  </si>
  <si>
    <t xml:space="preserve">カート明細ID</t>
  </si>
  <si>
    <t xml:space="preserve">cart_id</t>
  </si>
  <si>
    <t xml:space="preserve">FK → carts.id</t>
  </si>
  <si>
    <t xml:space="preserve">所属するカート</t>
  </si>
  <si>
    <t xml:space="preserve">FK → products.id / UNIQUE(cart_id, product_id)</t>
  </si>
  <si>
    <t xml:space="preserve">入れた商品(同じ商品は1回だけ)</t>
  </si>
  <si>
    <t xml:space="preserve">quantity</t>
  </si>
  <si>
    <t xml:space="preserve">unsigned int</t>
  </si>
  <si>
    <t xml:space="preserve">数量。1点もののため常に1(Q-004)。列を持たない形も、作るときに検討</t>
  </si>
  <si>
    <t xml:space="preserve">orders</t>
  </si>
  <si>
    <t xml:space="preserve">注文ID</t>
  </si>
  <si>
    <t xml:space="preserve">注文した会員</t>
  </si>
  <si>
    <t xml:space="preserve">total_amount</t>
  </si>
  <si>
    <t xml:space="preserve">合計金額(円)</t>
  </si>
  <si>
    <t xml:space="preserve">ordered_at</t>
  </si>
  <si>
    <t xml:space="preserve">注文日時</t>
  </si>
  <si>
    <t xml:space="preserve">order_items</t>
  </si>
  <si>
    <t xml:space="preserve">注文明細ID</t>
  </si>
  <si>
    <t xml:space="preserve">order_id</t>
  </si>
  <si>
    <t xml:space="preserve">FK → orders.id</t>
  </si>
  <si>
    <t xml:space="preserve">所属する注文</t>
  </si>
  <si>
    <t xml:space="preserve">注文した商品(出品者は商品から分かる)</t>
  </si>
  <si>
    <t xml:space="preserve">unit_price</t>
  </si>
  <si>
    <t xml:space="preserve">注文時点の単価(あとで商品価格を変えても過去の注文に影響しないよう保存)</t>
  </si>
  <si>
    <t xml:space="preserve">課題・確認事項</t>
  </si>
  <si>
    <t xml:space="preserve">黄色のセルが編集用です。決めたら「状況」を「決定」にして、決定日を入れてください。</t>
  </si>
  <si>
    <t xml:space="preserve">内容</t>
  </si>
  <si>
    <t xml:space="preserve">選択肢</t>
  </si>
  <si>
    <t xml:space="preserve">現時点の方針</t>
  </si>
  <si>
    <t xml:space="preserve">決定日</t>
  </si>
  <si>
    <t xml:space="preserve">Q-001</t>
  </si>
  <si>
    <t xml:space="preserve">仕様</t>
  </si>
  <si>
    <t xml:space="preserve">商品を登録するのは誰か</t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</si>
  <si>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管理者のみ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単独ショップ</t>
    </r>
    <r>
      <rPr>
        <sz val="10"/>
        <rFont val="Yu Gothic"/>
        <family val="3"/>
        <charset val="128"/>
      </rPr>
      <t xml:space="preserve">) / B: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販売側ユーザー登録が必要</t>
    </r>
    <r>
      <rPr>
        <sz val="10"/>
        <rFont val="Yu Gothic"/>
        <family val="3"/>
        <charset val="128"/>
      </rPr>
      <t xml:space="preserve">)</t>
    </r>
  </si>
  <si>
    <r>
      <rPr>
        <sz val="10"/>
        <rFont val="Yu Gothic"/>
        <family val="3"/>
        <charset val="128"/>
      </rPr>
      <t xml:space="preserve">B(</t>
    </r>
    <r>
      <rPr>
        <sz val="10"/>
        <rFont val="Noto Sans CJK SC"/>
        <family val="2"/>
      </rPr>
      <t xml:space="preserve">出品者が複数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に決定。出品者による商品の登録・編集・削除</t>
    </r>
    <r>
      <rPr>
        <sz val="10"/>
        <rFont val="Yu Gothic"/>
        <family val="3"/>
        <charset val="128"/>
      </rPr>
      <t xml:space="preserve">(F-018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F-020)</t>
    </r>
    <r>
      <rPr>
        <sz val="10"/>
        <rFont val="Noto Sans CJK SC"/>
        <family val="2"/>
      </rPr>
      <t xml:space="preserve">を作る。商品は出品者に紐づける</t>
    </r>
    <r>
      <rPr>
        <sz val="10"/>
        <rFont val="Yu Gothic"/>
        <family val="3"/>
        <charset val="128"/>
      </rPr>
      <t xml:space="preserve">(products.sell_user_id)</t>
    </r>
    <r>
      <rPr>
        <sz val="10"/>
        <rFont val="Noto Sans CJK SC"/>
        <family val="2"/>
      </rPr>
      <t xml:space="preserve">。会員は</t>
    </r>
    <r>
      <rPr>
        <sz val="10"/>
        <rFont val="Yu Gothic"/>
        <family val="3"/>
        <charset val="128"/>
      </rPr>
      <t xml:space="preserve">role</t>
    </r>
    <r>
      <rPr>
        <sz val="10"/>
        <rFont val="Noto Sans CJK SC"/>
        <family val="2"/>
      </rPr>
      <t xml:space="preserve">で分けず、どの会員でも出品・購入できる</t>
    </r>
    <r>
      <rPr>
        <sz val="10"/>
        <rFont val="Yu Gothic"/>
        <family val="3"/>
        <charset val="128"/>
      </rPr>
      <t xml:space="preserve">(2026/10/26)</t>
    </r>
    <r>
      <rPr>
        <sz val="10"/>
        <rFont val="Noto Sans CJK SC"/>
        <family val="2"/>
      </rPr>
      <t xml:space="preserve">。そのため出品者専用の登録</t>
    </r>
    <r>
      <rPr>
        <sz val="10"/>
        <rFont val="Yu Gothic"/>
        <family val="3"/>
        <charset val="128"/>
      </rPr>
      <t xml:space="preserve">(F-009)</t>
    </r>
    <r>
      <rPr>
        <sz val="10"/>
        <rFont val="Noto Sans CJK SC"/>
        <family val="2"/>
      </rPr>
      <t xml:space="preserve">は作らない</t>
    </r>
  </si>
  <si>
    <r>
      <rPr>
        <sz val="10"/>
        <rFont val="Yu Gothic"/>
        <family val="3"/>
        <charset val="128"/>
      </rPr>
      <t xml:space="preserve">F-009, 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F-020</t>
    </r>
  </si>
  <si>
    <t xml:space="preserve">決定</t>
  </si>
  <si>
    <t xml:space="preserve">Q-002</t>
  </si>
  <si>
    <t xml:space="preserve">決済をどう扱うか</t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</si>
  <si>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決済なしで注文確定 </t>
    </r>
    <r>
      <rPr>
        <sz val="10"/>
        <rFont val="Yu Gothic"/>
        <family val="3"/>
        <charset val="128"/>
      </rPr>
      <t xml:space="preserve">/ B:</t>
    </r>
    <r>
      <rPr>
        <sz val="10"/>
        <rFont val="Noto Sans CJK SC"/>
        <family val="2"/>
      </rPr>
      <t xml:space="preserve">外部決済サービスを連携</t>
    </r>
  </si>
  <si>
    <r>
      <rPr>
        <sz val="10"/>
        <rFont val="Yu Gothic"/>
        <family val="3"/>
        <charset val="128"/>
      </rPr>
      <t xml:space="preserve">A(</t>
    </r>
    <r>
      <rPr>
        <sz val="10"/>
        <rFont val="Noto Sans CJK SC"/>
        <family val="2"/>
      </rPr>
      <t xml:space="preserve">決済なし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で</t>
    </r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を作る</t>
    </r>
  </si>
  <si>
    <t xml:space="preserve">F-015, F-017</t>
  </si>
  <si>
    <t xml:space="preserve">仮決定</t>
  </si>
  <si>
    <t xml:space="preserve">Q-003</t>
  </si>
  <si>
    <t xml:space="preserve">配送先住所をどう持たせるか</t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</si>
  <si>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プロフィールの住所を使う </t>
    </r>
    <r>
      <rPr>
        <sz val="10"/>
        <rFont val="Yu Gothic"/>
        <family val="3"/>
        <charset val="128"/>
      </rPr>
      <t xml:space="preserve">/ B:</t>
    </r>
    <r>
      <rPr>
        <sz val="10"/>
        <rFont val="Noto Sans CJK SC"/>
        <family val="2"/>
      </rPr>
      <t xml:space="preserve">注文時に入力して注文に保存する</t>
    </r>
  </si>
  <si>
    <t xml:space="preserve">プロフィール機能(Lesson 12〜14の想定)の内容を見てから決める。決まるまでは配送先を扱わない</t>
  </si>
  <si>
    <t xml:space="preserve">F-004, F-015</t>
  </si>
  <si>
    <t xml:space="preserve">未決</t>
  </si>
  <si>
    <t xml:space="preserve">Q-004</t>
  </si>
  <si>
    <t xml:space="preserve">在庫・売り切れをどう扱うか</t>
  </si>
  <si>
    <r>
      <rPr>
        <sz val="10"/>
        <rFont val="Yu Gothic"/>
        <family val="3"/>
        <charset val="128"/>
      </rPr>
      <t xml:space="preserve">A:1</t>
    </r>
    <r>
      <rPr>
        <sz val="10"/>
        <rFont val="Noto Sans CJK SC"/>
        <family val="2"/>
      </rPr>
      <t xml:space="preserve">点もの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フリマ型。買われたら売り切れ</t>
    </r>
    <r>
      <rPr>
        <sz val="10"/>
        <rFont val="Yu Gothic"/>
        <family val="3"/>
        <charset val="128"/>
      </rPr>
      <t xml:space="preserve">) / B:</t>
    </r>
    <r>
      <rPr>
        <sz val="10"/>
        <rFont val="Noto Sans CJK SC"/>
        <family val="2"/>
      </rPr>
      <t xml:space="preserve">在庫数を持ち、注文時に減らす</t>
    </r>
  </si>
  <si>
    <r>
      <rPr>
        <sz val="10"/>
        <rFont val="Yu Gothic"/>
        <family val="3"/>
        <charset val="128"/>
      </rPr>
      <t xml:space="preserve">A(1</t>
    </r>
    <r>
      <rPr>
        <sz val="10"/>
        <rFont val="Noto Sans CJK SC"/>
        <family val="2"/>
      </rPr>
      <t xml:space="preserve">点もの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に決定。在庫数の列は持たず、カート・注文の数量は常に</t>
    </r>
    <r>
      <rPr>
        <sz val="10"/>
        <rFont val="Yu Gothic"/>
        <family val="3"/>
        <charset val="128"/>
      </rPr>
      <t xml:space="preserve">1</t>
    </r>
    <r>
      <rPr>
        <sz val="10"/>
        <rFont val="Noto Sans CJK SC"/>
        <family val="2"/>
      </rPr>
      <t xml:space="preserve">。売り切れの判定方法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注文明細の有無で判定する </t>
    </r>
    <r>
      <rPr>
        <sz val="10"/>
        <rFont val="Yu Gothic"/>
        <family val="3"/>
        <charset val="128"/>
      </rPr>
      <t xml:space="preserve">/ products</t>
    </r>
    <r>
      <rPr>
        <sz val="10"/>
        <rFont val="Noto Sans CJK SC"/>
        <family val="2"/>
      </rPr>
      <t xml:space="preserve">に売れた日時の列を足す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は、注文確定</t>
    </r>
    <r>
      <rPr>
        <sz val="10"/>
        <rFont val="Yu Gothic"/>
        <family val="3"/>
        <charset val="128"/>
      </rPr>
      <t xml:space="preserve">(F-015)</t>
    </r>
    <r>
      <rPr>
        <sz val="10"/>
        <rFont val="Noto Sans CJK SC"/>
        <family val="2"/>
      </rPr>
      <t xml:space="preserve">を作るときに決める</t>
    </r>
  </si>
  <si>
    <t xml:space="preserve">F-015, F-021</t>
  </si>
  <si>
    <t xml:space="preserve">Q-005</t>
  </si>
  <si>
    <t xml:space="preserve">技術</t>
  </si>
  <si>
    <t xml:space="preserve">認証の実装方法</t>
  </si>
  <si>
    <r>
      <rPr>
        <sz val="10"/>
        <rFont val="Yu Gothic"/>
        <family val="3"/>
        <charset val="128"/>
      </rPr>
      <t xml:space="preserve">A:Laravel</t>
    </r>
    <r>
      <rPr>
        <sz val="10"/>
        <rFont val="Noto Sans CJK SC"/>
        <family val="2"/>
      </rPr>
      <t xml:space="preserve">のスターターキット等を使う </t>
    </r>
    <r>
      <rPr>
        <sz val="10"/>
        <rFont val="Yu Gothic"/>
        <family val="3"/>
        <charset val="128"/>
      </rPr>
      <t xml:space="preserve">/ B:</t>
    </r>
    <r>
      <rPr>
        <sz val="10"/>
        <rFont val="Noto Sans CJK SC"/>
        <family val="2"/>
      </rPr>
      <t xml:space="preserve">教材のように自作する</t>
    </r>
  </si>
  <si>
    <t xml:space="preserve">案:B。教材のレッスン(Lesson 09〜11)に沿って自作する。スターターキットを使うと、教材の流れと合わなくなる</t>
  </si>
  <si>
    <r>
      <rPr>
        <sz val="10"/>
        <rFont val="Yu Gothic"/>
        <family val="3"/>
        <charset val="128"/>
      </rPr>
      <t xml:space="preserve">F-001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F-003</t>
    </r>
  </si>
  <si>
    <t xml:space="preserve">Q-006</t>
  </si>
  <si>
    <t xml:space="preserve">商品画像の保存先</t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</si>
  <si>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サーバー内</t>
    </r>
    <r>
      <rPr>
        <sz val="10"/>
        <rFont val="Yu Gothic"/>
        <family val="3"/>
        <charset val="128"/>
      </rPr>
      <t xml:space="preserve">(storage) / B:S3</t>
    </r>
  </si>
  <si>
    <t xml:space="preserve">案:Lesson 17〜19(商品登録)で必要になる。まずサーバー内(storage)で作り、S3への切り替えはAWS公開時に検討する</t>
  </si>
  <si>
    <t xml:space="preserve">F-010, F-018</t>
  </si>
  <si>
    <t xml:space="preserve">Q-007</t>
  </si>
  <si>
    <t xml:space="preserve">本番の構成</t>
  </si>
  <si>
    <r>
      <rPr>
        <sz val="10"/>
        <rFont val="Yu Gothic"/>
        <family val="3"/>
        <charset val="128"/>
      </rPr>
      <t xml:space="preserve">A:EC2 + RDS / B:EC2</t>
    </r>
    <r>
      <rPr>
        <sz val="10"/>
        <rFont val="Noto Sans CJK SC"/>
        <family val="2"/>
      </rPr>
      <t xml:space="preserve">内に</t>
    </r>
    <r>
      <rPr>
        <sz val="10"/>
        <rFont val="Yu Gothic"/>
        <family val="3"/>
        <charset val="128"/>
      </rPr>
      <t xml:space="preserve">MySQL</t>
    </r>
  </si>
  <si>
    <t xml:space="preserve">インフラ部の構成に合わせる</t>
  </si>
  <si>
    <t xml:space="preserve">Q-008</t>
  </si>
  <si>
    <t xml:space="preserve">パスワード再設定メールの送信方法</t>
  </si>
  <si>
    <t xml:space="preserve">開発中:Laravelのログ出力(メールを実際には送らず、ログに書き出す) / 本番:メール送信サービスを使う(AWS SESなど)</t>
  </si>
  <si>
    <r>
      <rPr>
        <sz val="10"/>
        <rFont val="Yu Gothic"/>
        <family val="3"/>
        <charset val="128"/>
      </rPr>
      <t xml:space="preserve">Lesson 16(</t>
    </r>
    <r>
      <rPr>
        <sz val="10"/>
        <rFont val="Noto Sans CJK SC"/>
        <family val="2"/>
      </rPr>
      <t xml:space="preserve">パスワードリマインダー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を作るため、</t>
    </r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で必要になる。メール通知</t>
    </r>
    <r>
      <rPr>
        <sz val="10"/>
        <rFont val="Yu Gothic"/>
        <family val="3"/>
        <charset val="128"/>
      </rPr>
      <t xml:space="preserve">(F-022)</t>
    </r>
    <r>
      <rPr>
        <sz val="10"/>
        <rFont val="Noto Sans CJK SC"/>
        <family val="2"/>
      </rPr>
      <t xml:space="preserve">は対象外のままだが、再設定メールの送信だけは別に必要</t>
    </r>
  </si>
  <si>
    <t xml:space="preserve">F-007, F-022</t>
  </si>
  <si>
    <t xml:space="preserve">Q-009</t>
  </si>
  <si>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の商品データの用意方法</t>
    </r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</si>
  <si>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シーダー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初期データ投入</t>
    </r>
    <r>
      <rPr>
        <sz val="10"/>
        <rFont val="Yu Gothic"/>
        <family val="3"/>
        <charset val="128"/>
      </rPr>
      <t xml:space="preserve">) / B:</t>
    </r>
    <r>
      <rPr>
        <sz val="10"/>
        <rFont val="Noto Sans CJK SC"/>
        <family val="2"/>
      </rPr>
      <t xml:space="preserve">商品登録機能で登録する</t>
    </r>
  </si>
  <si>
    <r>
      <rPr>
        <sz val="10"/>
        <rFont val="Yu Gothic"/>
        <family val="3"/>
        <charset val="128"/>
      </rPr>
      <t xml:space="preserve">B</t>
    </r>
    <r>
      <rPr>
        <sz val="10"/>
        <rFont val="Noto Sans CJK SC"/>
        <family val="2"/>
      </rPr>
      <t xml:space="preserve">。教材順では商品登録</t>
    </r>
    <r>
      <rPr>
        <sz val="10"/>
        <rFont val="Yu Gothic"/>
        <family val="3"/>
        <charset val="128"/>
      </rPr>
      <t xml:space="preserve">(Lesson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19)</t>
    </r>
    <r>
      <rPr>
        <sz val="10"/>
        <rFont val="Noto Sans CJK SC"/>
        <family val="2"/>
      </rPr>
      <t xml:space="preserve">を先に作るため、シーダーは必須でなくなった。画面確認用のダミーデータが欲しいときだけ使う</t>
    </r>
  </si>
  <si>
    <t xml:space="preserve">Q-010</t>
  </si>
  <si>
    <r>
      <rPr>
        <sz val="10"/>
        <rFont val="Yu Gothic"/>
        <family val="3"/>
        <charset val="128"/>
      </rPr>
      <t xml:space="preserve">1</t>
    </r>
    <r>
      <rPr>
        <sz val="10"/>
        <rFont val="Noto Sans CJK SC"/>
        <family val="2"/>
      </rPr>
      <t xml:space="preserve">回の注文に、複数の出品者の商品を含めてよいか</t>
    </r>
  </si>
  <si>
    <r>
      <rPr>
        <sz val="10"/>
        <rFont val="Yu Gothic"/>
        <family val="3"/>
        <charset val="128"/>
      </rPr>
      <t xml:space="preserve">A: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注文は購入者単位。明細から出品者が分かる</t>
    </r>
    <r>
      <rPr>
        <sz val="10"/>
        <rFont val="Yu Gothic"/>
        <family val="3"/>
        <charset val="128"/>
      </rPr>
      <t xml:space="preserve">) / B:</t>
    </r>
    <r>
      <rPr>
        <sz val="10"/>
        <rFont val="Noto Sans CJK SC"/>
        <family val="2"/>
      </rPr>
      <t xml:space="preserve">出品者ごとに注文を分ける</t>
    </r>
  </si>
  <si>
    <r>
      <rPr>
        <sz val="10"/>
        <rFont val="Yu Gothic"/>
        <family val="3"/>
        <charset val="128"/>
      </rPr>
      <t xml:space="preserve">A(</t>
    </r>
    <r>
      <rPr>
        <sz val="10"/>
        <rFont val="Noto Sans CJK SC"/>
        <family val="2"/>
      </rPr>
      <t xml:space="preserve">含めてよい</t>
    </r>
    <r>
      <rPr>
        <sz val="10"/>
        <rFont val="Yu Gothic"/>
        <family val="3"/>
        <charset val="128"/>
      </rPr>
      <t xml:space="preserve">)</t>
    </r>
    <r>
      <rPr>
        <sz val="10"/>
        <rFont val="Noto Sans CJK SC"/>
        <family val="2"/>
      </rPr>
      <t xml:space="preserve">で進める</t>
    </r>
  </si>
  <si>
    <t xml:space="preserve">Q-011</t>
  </si>
  <si>
    <t xml:space="preserve">連絡掲示板(Lesson 23)を入れるか</t>
  </si>
  <si>
    <t xml:space="preserve">入れる / 入れない</t>
  </si>
  <si>
    <t xml:space="preserve">入れる(決定)。形は「商品ごとの、購入者と出品者の1対1」とする(案)。Lesson 23の内容に合わせて見直す</t>
  </si>
  <si>
    <t xml:space="preserve">Q-012</t>
  </si>
  <si>
    <t xml:space="preserve">マイページ(Lesson 25)に何を入れるか</t>
  </si>
  <si>
    <t xml:space="preserve">例:プロフィール、出品した商品、注文履歴、お気に入り、問い合わせ</t>
  </si>
  <si>
    <r>
      <rPr>
        <sz val="10"/>
        <rFont val="Yu Gothic"/>
        <family val="3"/>
        <charset val="128"/>
      </rPr>
      <t xml:space="preserve">Lesson 25</t>
    </r>
    <r>
      <rPr>
        <sz val="10"/>
        <rFont val="Noto Sans CJK SC"/>
        <family val="2"/>
      </rPr>
      <t xml:space="preserve">の動画を見てから決める。注文履歴</t>
    </r>
    <r>
      <rPr>
        <sz val="10"/>
        <rFont val="Yu Gothic"/>
        <family val="3"/>
        <charset val="128"/>
      </rPr>
      <t xml:space="preserve">(F-016)</t>
    </r>
    <r>
      <rPr>
        <sz val="10"/>
        <rFont val="Noto Sans CJK SC"/>
        <family val="2"/>
      </rPr>
      <t xml:space="preserve">を入れる場合は</t>
    </r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に移す</t>
    </r>
  </si>
  <si>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未定</t>
    </r>
    <r>
      <rPr>
        <sz val="10"/>
        <rFont val="Yu Gothic"/>
        <family val="3"/>
        <charset val="128"/>
      </rPr>
      <t xml:space="preserve">)</t>
    </r>
  </si>
  <si>
    <t xml:space="preserve">スケジュール(教材のレッスン順)</t>
  </si>
  <si>
    <t xml:space="preserve">黄色のセル(レッスン数・実装工数・状況)を変えると、予定開始・予定終了が自動で更新されます。日程は、毎日の再現練習の時間を差し引いた「開発に使う時間」で計算しています。合計見積 =(レッスン数 × 1レッスンの時間 + 実装工数)×(1 + 予備率)。時間の設定は「稼働カレンダー」シートで変更できます。</t>
  </si>
  <si>
    <t xml:space="preserve">No</t>
  </si>
  <si>
    <t xml:space="preserve">タスク</t>
  </si>
  <si>
    <t xml:space="preserve">対応機能ID</t>
  </si>
  <si>
    <t xml:space="preserve">成果物</t>
  </si>
  <si>
    <t xml:space="preserve">レッスン数</t>
  </si>
  <si>
    <t xml:space="preserve">実装工数(h)</t>
  </si>
  <si>
    <t xml:space="preserve">合計見積(h)</t>
  </si>
  <si>
    <t xml:space="preserve">累積(h)</t>
  </si>
  <si>
    <t xml:space="preserve">予定開始</t>
  </si>
  <si>
    <t xml:space="preserve">予定終了</t>
  </si>
  <si>
    <t xml:space="preserve">準備</t>
  </si>
  <si>
    <t xml:space="preserve">ローカル環境構築(Laravel作成・GitHub連携)</t>
  </si>
  <si>
    <t xml:space="preserve">main</t>
  </si>
  <si>
    <t xml:space="preserve">動作するLaravelプロジェクト、GitHubリポジトリ</t>
  </si>
  <si>
    <t xml:space="preserve">完了</t>
  </si>
  <si>
    <t xml:space="preserve">要件定義</t>
  </si>
  <si>
    <t xml:space="preserve">Lesson 01</t>
  </si>
  <si>
    <t xml:space="preserve">要件定義書の作成・確定(機能の洗い出し)</t>
  </si>
  <si>
    <t xml:space="preserve">本ファイル</t>
  </si>
  <si>
    <t xml:space="preserve">設計</t>
  </si>
  <si>
    <t xml:space="preserve">Lesson 02</t>
  </si>
  <si>
    <t xml:space="preserve">画面設計(画面一覧の確定)。動画は視聴済み。マイページ追加などの反映が残り</t>
  </si>
  <si>
    <r>
      <rPr>
        <sz val="10"/>
        <rFont val="Yu Gothic"/>
        <family val="3"/>
        <charset val="128"/>
      </rPr>
      <t xml:space="preserve">Lesson 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05</t>
    </r>
  </si>
  <si>
    <t xml:space="preserve">テーブル設計(テーブル定義の確定)。動画は視聴済み。型・削除フラグ・categories・message_boardsの反映が残り</t>
  </si>
  <si>
    <t xml:space="preserve">Lesson 06</t>
  </si>
  <si>
    <r>
      <rPr>
        <sz val="10"/>
        <rFont val="Yu Gothic"/>
        <family val="3"/>
        <charset val="128"/>
      </rPr>
      <t xml:space="preserve">DB</t>
    </r>
    <r>
      <rPr>
        <sz val="10"/>
        <rFont val="Noto Sans CJK SC"/>
        <family val="2"/>
      </rPr>
      <t xml:space="preserve">作成</t>
    </r>
    <r>
      <rPr>
        <sz val="10"/>
        <rFont val="Yu Gothic"/>
        <family val="3"/>
        <charset val="128"/>
      </rPr>
      <t xml:space="preserve">(MySQL</t>
    </r>
    <r>
      <rPr>
        <sz val="10"/>
        <rFont val="Noto Sans CJK SC"/>
        <family val="2"/>
      </rPr>
      <t xml:space="preserve">・</t>
    </r>
    <r>
      <rPr>
        <sz val="10"/>
        <rFont val="Yu Gothic"/>
        <family val="3"/>
        <charset val="128"/>
      </rPr>
      <t xml:space="preserve">.env</t>
    </r>
    <r>
      <rPr>
        <sz val="10"/>
        <rFont val="Noto Sans CJK SC"/>
        <family val="2"/>
      </rPr>
      <t xml:space="preserve">設定・マイグレーション</t>
    </r>
    <r>
      <rPr>
        <sz val="10"/>
        <rFont val="Yu Gothic"/>
        <family val="3"/>
        <charset val="128"/>
      </rPr>
      <t xml:space="preserve">)</t>
    </r>
  </si>
  <si>
    <t xml:space="preserve">feature/database</t>
  </si>
  <si>
    <t xml:space="preserve">動作するDB、マイグレーションファイル</t>
  </si>
  <si>
    <t xml:space="preserve">実装(Phase1)</t>
  </si>
  <si>
    <r>
      <rPr>
        <sz val="10"/>
        <rFont val="Yu Gothic"/>
        <family val="3"/>
        <charset val="128"/>
      </rPr>
      <t xml:space="preserve">Lesson 07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08</t>
    </r>
  </si>
  <si>
    <t xml:space="preserve">画面の見た目を作る(共通レイアウト、主要画面)</t>
  </si>
  <si>
    <t xml:space="preserve">feature/layout</t>
  </si>
  <si>
    <t xml:space="preserve">共通レイアウト、主要画面のHTML/CSS</t>
  </si>
  <si>
    <r>
      <rPr>
        <sz val="10"/>
        <rFont val="Yu Gothic"/>
        <family val="3"/>
        <charset val="128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11</t>
    </r>
  </si>
  <si>
    <t xml:space="preserve">会員登録・ログイン</t>
  </si>
  <si>
    <t xml:space="preserve">F-001, F-002</t>
  </si>
  <si>
    <t xml:space="preserve">会員登録・ログイン機能</t>
  </si>
  <si>
    <r>
      <rPr>
        <sz val="10"/>
        <rFont val="Yu Gothic"/>
        <family val="3"/>
        <charset val="128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14(</t>
    </r>
    <r>
      <rPr>
        <sz val="10"/>
        <rFont val="Noto Sans CJK SC"/>
        <family val="2"/>
      </rPr>
      <t xml:space="preserve">要確認</t>
    </r>
    <r>
      <rPr>
        <sz val="10"/>
        <rFont val="Yu Gothic"/>
        <family val="3"/>
        <charset val="128"/>
      </rPr>
      <t xml:space="preserve">)</t>
    </r>
  </si>
  <si>
    <t xml:space="preserve">ログアウト・プロフィール・退会・出品者登録など(内容は要確認)</t>
  </si>
  <si>
    <r>
      <rPr>
        <sz val="10"/>
        <rFont val="Yu Gothic"/>
        <family val="3"/>
        <charset val="128"/>
      </rPr>
      <t xml:space="preserve">F-003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F-005, F-008, F-009</t>
    </r>
  </si>
  <si>
    <r>
      <rPr>
        <sz val="10"/>
        <rFont val="Yu Gothic"/>
        <family val="3"/>
        <charset val="128"/>
      </rPr>
      <t xml:space="preserve">feature/profile </t>
    </r>
    <r>
      <rPr>
        <sz val="10"/>
        <rFont val="Noto Sans CJK SC"/>
        <family val="2"/>
      </rPr>
      <t xml:space="preserve">他</t>
    </r>
  </si>
  <si>
    <t xml:space="preserve">該当機能</t>
  </si>
  <si>
    <r>
      <rPr>
        <sz val="10"/>
        <rFont val="Yu Gothic"/>
        <family val="3"/>
        <charset val="128"/>
      </rPr>
      <t xml:space="preserve">Lesson 15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16</t>
    </r>
  </si>
  <si>
    <t xml:space="preserve">パスワード変更・パスワードリマインダー</t>
  </si>
  <si>
    <t xml:space="preserve">F-006, F-007</t>
  </si>
  <si>
    <t xml:space="preserve">パスワード関連の機能</t>
  </si>
  <si>
    <t xml:space="preserve">出品者による商品登録(編集・削除を含む。教材の範囲は要確認)</t>
  </si>
  <si>
    <r>
      <rPr>
        <sz val="10"/>
        <rFont val="Yu Gothic"/>
        <family val="3"/>
        <charset val="128"/>
      </rPr>
      <t xml:space="preserve">F-018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F-020</t>
    </r>
  </si>
  <si>
    <t xml:space="preserve">商品登録・編集・削除</t>
  </si>
  <si>
    <r>
      <rPr>
        <sz val="10"/>
        <rFont val="Yu Gothic"/>
        <family val="3"/>
        <charset val="128"/>
      </rPr>
      <t xml:space="preserve">Lesson 20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3"/>
        <charset val="128"/>
      </rPr>
      <t xml:space="preserve">21</t>
    </r>
  </si>
  <si>
    <t xml:space="preserve">商品一覧・商品詳細</t>
  </si>
  <si>
    <t xml:space="preserve">F-010, F-011</t>
  </si>
  <si>
    <t xml:space="preserve">商品一覧・詳細画面</t>
  </si>
  <si>
    <t xml:space="preserve">検索機能</t>
  </si>
  <si>
    <t xml:space="preserve">連絡掲示板(購入者と出品者のやり取り)</t>
  </si>
  <si>
    <t xml:space="preserve">掲示板機能</t>
  </si>
  <si>
    <t xml:space="preserve">お気に入り</t>
  </si>
  <si>
    <t xml:space="preserve">お気に入り機能</t>
  </si>
  <si>
    <t xml:space="preserve">Lesson 25</t>
  </si>
  <si>
    <t xml:space="preserve">マイページ(内容は動画を見て決める)</t>
  </si>
  <si>
    <r>
      <rPr>
        <sz val="10"/>
        <rFont val="Yu Gothic"/>
        <family val="3"/>
        <charset val="128"/>
      </rPr>
      <t xml:space="preserve">(Q-012</t>
    </r>
    <r>
      <rPr>
        <sz val="10"/>
        <rFont val="Noto Sans CJK SC"/>
        <family val="2"/>
      </rPr>
      <t xml:space="preserve">で決定</t>
    </r>
    <r>
      <rPr>
        <sz val="10"/>
        <rFont val="Yu Gothic"/>
        <family val="3"/>
        <charset val="128"/>
      </rPr>
      <t xml:space="preserve">)</t>
    </r>
  </si>
  <si>
    <t xml:space="preserve">feature/mypage</t>
  </si>
  <si>
    <t xml:space="preserve">マイページ</t>
  </si>
  <si>
    <t xml:space="preserve">カート機能</t>
  </si>
  <si>
    <t xml:space="preserve">注文確定</t>
  </si>
  <si>
    <t xml:space="preserve">注文確認・完了画面</t>
  </si>
  <si>
    <t xml:space="preserve">テスト</t>
  </si>
  <si>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の動作確認</t>
    </r>
    <r>
      <rPr>
        <sz val="10"/>
        <rFont val="Yu Gothic"/>
        <family val="3"/>
        <charset val="128"/>
      </rPr>
      <t xml:space="preserve">(</t>
    </r>
    <r>
      <rPr>
        <sz val="10"/>
        <rFont val="Noto Sans CJK SC"/>
        <family val="2"/>
      </rPr>
      <t xml:space="preserve">受入条件のチェック</t>
    </r>
    <r>
      <rPr>
        <sz val="10"/>
        <rFont val="Yu Gothic"/>
        <family val="3"/>
        <charset val="128"/>
      </rPr>
      <t xml:space="preserve">)</t>
    </r>
  </si>
  <si>
    <r>
      <rPr>
        <sz val="10"/>
        <rFont val="Yu Gothic"/>
        <family val="3"/>
        <charset val="128"/>
      </rPr>
      <t xml:space="preserve">Phase1</t>
    </r>
    <r>
      <rPr>
        <sz val="10"/>
        <rFont val="Noto Sans CJK SC"/>
        <family val="2"/>
      </rPr>
      <t xml:space="preserve">の全機能</t>
    </r>
  </si>
  <si>
    <t xml:space="preserve">確認結果</t>
  </si>
  <si>
    <t xml:space="preserve">公開</t>
  </si>
  <si>
    <r>
      <rPr>
        <sz val="10"/>
        <rFont val="Yu Gothic"/>
        <family val="3"/>
        <charset val="128"/>
      </rPr>
      <t xml:space="preserve">AWS</t>
    </r>
    <r>
      <rPr>
        <sz val="10"/>
        <rFont val="Noto Sans CJK SC"/>
        <family val="2"/>
      </rPr>
      <t xml:space="preserve">環境構築・デプロイ</t>
    </r>
  </si>
  <si>
    <t xml:space="preserve">公開URLで動作するサイト</t>
  </si>
  <si>
    <t xml:space="preserve">公開後の動作確認・README整備</t>
  </si>
  <si>
    <r>
      <rPr>
        <sz val="10"/>
        <rFont val="Yu Gothic"/>
        <family val="3"/>
        <charset val="128"/>
      </rPr>
      <t xml:space="preserve">README</t>
    </r>
    <r>
      <rPr>
        <sz val="10"/>
        <rFont val="Noto Sans CJK SC"/>
        <family val="2"/>
      </rPr>
      <t xml:space="preserve">、公開</t>
    </r>
    <r>
      <rPr>
        <sz val="10"/>
        <rFont val="Yu Gothic"/>
        <family val="3"/>
        <charset val="128"/>
      </rPr>
      <t xml:space="preserve">URL</t>
    </r>
  </si>
  <si>
    <t xml:space="preserve">注文履歴画面</t>
  </si>
  <si>
    <t xml:space="preserve">合計</t>
  </si>
  <si>
    <t xml:space="preserve">稼働カレンダー</t>
  </si>
  <si>
    <t xml:space="preserve">スケジュールの日程は、このシートの稼働時間から自動計算されます。黄色のセルが編集用です。</t>
  </si>
  <si>
    <t xml:space="preserve">起算日</t>
  </si>
  <si>
    <t xml:space="preserve">平日の稼働時間(h)</t>
  </si>
  <si>
    <t xml:space="preserve">休日の稼働時間(h)</t>
  </si>
  <si>
    <t xml:space="preserve">予備率(見積への上乗せ)</t>
  </si>
  <si>
    <r>
      <rPr>
        <b val="true"/>
        <sz val="10"/>
        <rFont val="Yu Gothic"/>
        <family val="3"/>
        <charset val="128"/>
      </rPr>
      <t xml:space="preserve">1</t>
    </r>
    <r>
      <rPr>
        <b val="true"/>
        <sz val="10"/>
        <rFont val="Noto Sans CJK SC"/>
        <family val="2"/>
      </rPr>
      <t xml:space="preserve">レッスンあたりの視聴・演習時間</t>
    </r>
    <r>
      <rPr>
        <b val="true"/>
        <sz val="10"/>
        <rFont val="Yu Gothic"/>
        <family val="3"/>
        <charset val="128"/>
      </rPr>
      <t xml:space="preserve">(h)</t>
    </r>
  </si>
  <si>
    <t xml:space="preserve">うち平日の再現練習(h)</t>
  </si>
  <si>
    <t xml:space="preserve">うち休日の再現・白紙練習(h)</t>
  </si>
  <si>
    <t xml:space="preserve">開発に使う時間 = 稼働時間 − 再現練習の時間。教材を見ずに作り直す練習(フルスクラッチ練習)の時間を、先に確保してから日程を計算します。</t>
  </si>
  <si>
    <t xml:space="preserve">休日は土日祝として計算します。特定の日だけ変えたいときは、表の「上書き」で平日/休日を選んでください。</t>
  </si>
  <si>
    <t xml:space="preserve">祝日は右の表に入力済み(2027/2/23まで)。足りない日は表に追記してください。</t>
  </si>
  <si>
    <t xml:space="preserve">「1レッスンあたりの視聴・演習時間」は仮の値です。レッスンページの「学習にかかった時間」の実績に合わせて変えてください。</t>
  </si>
  <si>
    <t xml:space="preserve">日付</t>
  </si>
  <si>
    <t xml:space="preserve">曜日</t>
  </si>
  <si>
    <t xml:space="preserve">自動判定</t>
  </si>
  <si>
    <t xml:space="preserve">上書き</t>
  </si>
  <si>
    <t xml:space="preserve">開発に使う時間(h)</t>
  </si>
  <si>
    <t xml:space="preserve">祝日</t>
  </si>
  <si>
    <t xml:space="preserve">名称</t>
  </si>
  <si>
    <t xml:space="preserve">文化の日</t>
  </si>
  <si>
    <t xml:space="preserve">勤労感謝の日</t>
  </si>
  <si>
    <t xml:space="preserve">元日</t>
  </si>
  <si>
    <t xml:space="preserve">成人の日</t>
  </si>
  <si>
    <t xml:space="preserve">建国記念の日</t>
  </si>
  <si>
    <t xml:space="preserve">天皇誕生日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</si>
</sst>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yyyy/mm/dd"/>
    <numFmt numFmtId="167" formatCode="0.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b val="true"/>
      <sz val="10"/>
      <color rgb="FFFFFFFF"/>
      <name val="Yu Gothic"/>
      <family val="3"/>
      <charset val="128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Yu Gothic"/>
      <family val="3"/>
      <charset val="128"/>
    </font>
    <font>
      <sz val="10"/>
      <name val="Noto Sans CJK SC"/>
      <family val="2"/>
    </font>
    <font>
      <b val="true"/>
      <sz val="10"/>
      <name val="Yu Gothic"/>
      <family val="3"/>
      <charset val="128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7F7F7F"/>
      </font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8" hidden="false" customHeight="true" outlineLevel="0" collapsed="false">
      <c r="A5" s="6" t="s">
        <v>3</v>
      </c>
      <c r="B5" s="7" t="s">
        <v>4</v>
      </c>
    </row>
    <row r="6" customFormat="false" ht="31.5" hidden="false" customHeight="true" outlineLevel="0" collapsed="false">
      <c r="A6" s="6" t="s">
        <v>5</v>
      </c>
      <c r="B6" s="7" t="s">
        <v>6</v>
      </c>
    </row>
    <row r="7" customFormat="false" ht="18" hidden="false" customHeight="true" outlineLevel="0" collapsed="false">
      <c r="A7" s="6" t="s">
        <v>7</v>
      </c>
      <c r="B7" s="7" t="s">
        <v>8</v>
      </c>
    </row>
    <row r="8" customFormat="false" ht="36" hidden="false" customHeight="true" outlineLevel="0" collapsed="false">
      <c r="A8" s="6" t="s">
        <v>9</v>
      </c>
      <c r="B8" s="7" t="s">
        <v>10</v>
      </c>
    </row>
    <row r="9" customFormat="false" ht="36" hidden="false" customHeight="true" outlineLevel="0" collapsed="false">
      <c r="A9" s="6" t="s">
        <v>11</v>
      </c>
      <c r="B9" s="8" t="s">
        <v>12</v>
      </c>
    </row>
    <row r="10" customFormat="false" ht="15" hidden="false" customHeight="true" outlineLevel="0" collapsed="false">
      <c r="A10" s="6" t="s">
        <v>13</v>
      </c>
      <c r="B10" s="7" t="s">
        <v>14</v>
      </c>
    </row>
    <row r="11" customFormat="false" ht="36" hidden="false" customHeight="true" outlineLevel="0" collapsed="false">
      <c r="A11" s="6" t="s">
        <v>15</v>
      </c>
      <c r="B11" s="8" t="s">
        <v>16</v>
      </c>
    </row>
    <row r="12" customFormat="false" ht="18" hidden="false" customHeight="true" outlineLevel="0" collapsed="false">
      <c r="A12" s="6" t="s">
        <v>17</v>
      </c>
      <c r="B12" s="8" t="s">
        <v>18</v>
      </c>
    </row>
    <row r="13" customFormat="false" ht="36" hidden="false" customHeight="true" outlineLevel="0" collapsed="false">
      <c r="A13" s="6" t="s">
        <v>19</v>
      </c>
      <c r="B13" s="7" t="s">
        <v>20</v>
      </c>
    </row>
    <row r="14" customFormat="false" ht="72" hidden="false" customHeight="true" outlineLevel="0" collapsed="false">
      <c r="A14" s="6" t="s">
        <v>21</v>
      </c>
      <c r="B14" s="7" t="s">
        <v>22</v>
      </c>
    </row>
    <row r="15" customFormat="false" ht="18" hidden="false" customHeight="true" outlineLevel="0" collapsed="false">
      <c r="A15" s="6" t="s">
        <v>23</v>
      </c>
      <c r="B15" s="7" t="s">
        <v>24</v>
      </c>
    </row>
    <row r="17" customFormat="false" ht="15" hidden="false" customHeight="true" outlineLevel="0" collapsed="false">
      <c r="A17" s="4" t="s">
        <v>25</v>
      </c>
      <c r="B17" s="5"/>
    </row>
    <row r="18" customFormat="false" ht="15" hidden="false" customHeight="true" outlineLevel="0" collapsed="false">
      <c r="A18" s="9" t="s">
        <v>26</v>
      </c>
      <c r="B18" s="7" t="n">
        <f aca="false">COUNTIF(機能要件一覧!$G$5:$G$28,"Phase1")</f>
        <v>18</v>
      </c>
    </row>
    <row r="19" customFormat="false" ht="15" hidden="false" customHeight="true" outlineLevel="0" collapsed="false">
      <c r="A19" s="6" t="s">
        <v>27</v>
      </c>
      <c r="B19" s="7" t="n">
        <f aca="false">COUNTIFS(機能要件一覧!$G$5:$G$28,"Phase1",機能要件一覧!$L$5:$L$28,"完了")</f>
        <v>0</v>
      </c>
    </row>
    <row r="20" customFormat="false" ht="15" hidden="false" customHeight="true" outlineLevel="0" collapsed="false">
      <c r="A20" s="6" t="s">
        <v>28</v>
      </c>
      <c r="B20" s="7" t="n">
        <f aca="false">COUNTIFS(機能要件一覧!$G$5:$G$28,"Phase1",機能要件一覧!$L$5:$L$28,"作業中")</f>
        <v>0</v>
      </c>
    </row>
    <row r="21" customFormat="false" ht="15" hidden="false" customHeight="true" outlineLevel="0" collapsed="false">
      <c r="A21" s="6" t="s">
        <v>29</v>
      </c>
      <c r="B21" s="7" t="n">
        <f aca="false">COUNTIFS(機能要件一覧!$G$5:$G$28,"Phase1",機能要件一覧!$L$5:$L$28,"未着手")</f>
        <v>18</v>
      </c>
    </row>
    <row r="22" customFormat="false" ht="30" hidden="false" customHeight="true" outlineLevel="0" collapsed="false">
      <c r="A22" s="9" t="s">
        <v>30</v>
      </c>
      <c r="B22" s="10" t="n">
        <f aca="false">IF(B18=0,0,B19/B18)</f>
        <v>0</v>
      </c>
    </row>
    <row r="23" customFormat="false" ht="15" hidden="false" customHeight="true" outlineLevel="0" collapsed="false">
      <c r="A23" s="9" t="s">
        <v>31</v>
      </c>
      <c r="B23" s="7" t="n">
        <f aca="false">COUNTIF(機能要件一覧!$G$5:$G$28,"Phase2")</f>
        <v>1</v>
      </c>
    </row>
    <row r="24" customFormat="false" ht="15" hidden="false" customHeight="true" outlineLevel="0" collapsed="false">
      <c r="A24" s="6" t="s">
        <v>32</v>
      </c>
      <c r="B24" s="7" t="n">
        <f aca="false">COUNTIF(機能要件一覧!$G$5:$G$28,"対象外")</f>
        <v>5</v>
      </c>
    </row>
    <row r="25" customFormat="false" ht="15" hidden="false" customHeight="true" outlineLevel="0" collapsed="false">
      <c r="A25" s="6" t="s">
        <v>33</v>
      </c>
      <c r="B25" s="7" t="str">
        <f aca="false">SUMPRODUCT(--ISNUMBER(--LEFT(機能要件一覧!$H$5:$H$28,1)))&amp;" / 17"</f>
        <v>17 / 17</v>
      </c>
    </row>
    <row r="26" customFormat="false" ht="15" hidden="false" customHeight="true" outlineLevel="0" collapsed="false">
      <c r="A26" s="6" t="s">
        <v>34</v>
      </c>
      <c r="B26" s="7" t="n">
        <f aca="false">COUNTIF(機能要件一覧!$I$5:$I$28,"要確認")</f>
        <v>7</v>
      </c>
    </row>
    <row r="27" customFormat="false" ht="15" hidden="false" customHeight="true" outlineLevel="0" collapsed="false">
      <c r="A27" s="6" t="s">
        <v>35</v>
      </c>
      <c r="B27" s="7" t="n">
        <f aca="false">COUNTIF(課題・確認事項!$G$5:$G$16,"未決")</f>
        <v>6</v>
      </c>
    </row>
    <row r="28" customFormat="false" ht="16.5" hidden="false" customHeight="true" outlineLevel="0" collapsed="false">
      <c r="A28" s="9" t="s">
        <v>36</v>
      </c>
      <c r="B28" s="11" t="n">
        <f aca="false">スケジュール!M23</f>
        <v>46335</v>
      </c>
    </row>
    <row r="29" customFormat="false" ht="16.5" hidden="false" customHeight="true" outlineLevel="0" collapsed="false">
      <c r="A29" s="9" t="s">
        <v>37</v>
      </c>
      <c r="B29" s="11" t="n">
        <f aca="false">スケジュール!M24</f>
        <v>46337</v>
      </c>
    </row>
    <row r="30" customFormat="false" ht="16.5" hidden="false" customHeight="true" outlineLevel="0" collapsed="false">
      <c r="A30" s="9" t="s">
        <v>38</v>
      </c>
      <c r="B30" s="11" t="n">
        <f aca="false">スケジュール!M25</f>
        <v>46339</v>
      </c>
    </row>
    <row r="31" customFormat="false" ht="16.5" hidden="false" customHeight="true" outlineLevel="0" collapsed="false">
      <c r="A31" s="6" t="s">
        <v>39</v>
      </c>
      <c r="B31" s="12" t="n">
        <f aca="false">スケジュール!J26</f>
        <v>108.6</v>
      </c>
    </row>
    <row r="33" customFormat="false" ht="15" hidden="false" customHeight="true" outlineLevel="0" collapsed="false">
      <c r="A33" s="4" t="s">
        <v>40</v>
      </c>
      <c r="B33" s="5"/>
    </row>
    <row r="34" customFormat="false" ht="49.5" hidden="false" customHeight="true" outlineLevel="0" collapsed="false">
      <c r="A34" s="9" t="s">
        <v>41</v>
      </c>
      <c r="B34" s="7" t="s">
        <v>42</v>
      </c>
    </row>
    <row r="35" customFormat="false" ht="49.5" hidden="false" customHeight="true" outlineLevel="0" collapsed="false">
      <c r="A35" s="9" t="s">
        <v>43</v>
      </c>
      <c r="B35" s="7" t="s">
        <v>44</v>
      </c>
    </row>
    <row r="36" customFormat="false" ht="31.5" hidden="false" customHeight="true" outlineLevel="0" collapsed="false">
      <c r="A36" s="9" t="s">
        <v>45</v>
      </c>
      <c r="B36" s="7" t="s">
        <v>46</v>
      </c>
    </row>
    <row r="37" customFormat="false" ht="18" hidden="false" customHeight="true" outlineLevel="0" collapsed="false">
      <c r="A37" s="9" t="s">
        <v>47</v>
      </c>
      <c r="B37" s="7" t="s">
        <v>48</v>
      </c>
    </row>
    <row r="38" customFormat="false" ht="15" hidden="false" customHeight="true" outlineLevel="0" collapsed="false">
      <c r="A38" s="9" t="s">
        <v>49</v>
      </c>
      <c r="B38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24"/>
    <col collapsed="false" customWidth="true" hidden="false" outlineLevel="0" max="9" min="9" style="1" width="16"/>
    <col collapsed="false" customWidth="true" hidden="false" outlineLevel="0" max="10" min="10" style="1" width="52"/>
    <col collapsed="false" customWidth="true" hidden="false" outlineLevel="0" max="11" min="11" style="1" width="22"/>
    <col collapsed="false" customWidth="true" hidden="false" outlineLevel="0" max="12" min="12" style="1" width="9"/>
    <col collapsed="false" customWidth="true" hidden="false" outlineLevel="0" max="13" min="13" style="1" width="40"/>
  </cols>
  <sheetData>
    <row r="1" customFormat="false" ht="18" hidden="false" customHeight="true" outlineLevel="0" collapsed="false">
      <c r="A1" s="2" t="s">
        <v>51</v>
      </c>
    </row>
    <row r="2" customFormat="false" ht="15" hidden="false" customHeight="true" outlineLevel="0" collapsed="false">
      <c r="A2" s="3" t="s">
        <v>52</v>
      </c>
    </row>
    <row r="4" customFormat="false" ht="15" hidden="false" customHeight="true" outlineLevel="0" collapsed="false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7</v>
      </c>
      <c r="F4" s="13" t="s">
        <v>57</v>
      </c>
      <c r="G4" s="13" t="s">
        <v>58</v>
      </c>
      <c r="H4" s="13" t="s">
        <v>59</v>
      </c>
      <c r="I4" s="13" t="s">
        <v>60</v>
      </c>
      <c r="J4" s="13" t="s">
        <v>61</v>
      </c>
      <c r="K4" s="13" t="s">
        <v>62</v>
      </c>
      <c r="L4" s="13" t="s">
        <v>63</v>
      </c>
      <c r="M4" s="13" t="s">
        <v>64</v>
      </c>
    </row>
    <row r="5" customFormat="false" ht="27.75" hidden="false" customHeight="true" outlineLevel="0" collapsed="false">
      <c r="A5" s="14" t="s">
        <v>65</v>
      </c>
      <c r="B5" s="15" t="s">
        <v>66</v>
      </c>
      <c r="C5" s="15" t="s">
        <v>67</v>
      </c>
      <c r="D5" s="15" t="s">
        <v>68</v>
      </c>
      <c r="E5" s="16" t="s">
        <v>69</v>
      </c>
      <c r="F5" s="16" t="s">
        <v>70</v>
      </c>
      <c r="G5" s="17" t="s">
        <v>71</v>
      </c>
      <c r="H5" s="14" t="s">
        <v>72</v>
      </c>
      <c r="I5" s="17" t="s">
        <v>73</v>
      </c>
      <c r="J5" s="15" t="s">
        <v>74</v>
      </c>
      <c r="K5" s="17" t="s">
        <v>75</v>
      </c>
      <c r="L5" s="16" t="s">
        <v>76</v>
      </c>
      <c r="M5" s="16" t="s">
        <v>77</v>
      </c>
    </row>
    <row r="6" customFormat="false" ht="27.75" hidden="false" customHeight="true" outlineLevel="0" collapsed="false">
      <c r="A6" s="14" t="s">
        <v>78</v>
      </c>
      <c r="B6" s="15" t="s">
        <v>66</v>
      </c>
      <c r="C6" s="15" t="s">
        <v>79</v>
      </c>
      <c r="D6" s="15" t="s">
        <v>80</v>
      </c>
      <c r="E6" s="16" t="s">
        <v>69</v>
      </c>
      <c r="F6" s="16" t="s">
        <v>70</v>
      </c>
      <c r="G6" s="17" t="s">
        <v>71</v>
      </c>
      <c r="H6" s="14" t="s">
        <v>81</v>
      </c>
      <c r="I6" s="17" t="s">
        <v>82</v>
      </c>
      <c r="J6" s="15" t="s">
        <v>83</v>
      </c>
      <c r="K6" s="17" t="s">
        <v>75</v>
      </c>
      <c r="L6" s="16" t="s">
        <v>76</v>
      </c>
      <c r="M6" s="16"/>
    </row>
    <row r="7" customFormat="false" ht="18" hidden="false" customHeight="true" outlineLevel="0" collapsed="false">
      <c r="A7" s="14" t="s">
        <v>84</v>
      </c>
      <c r="B7" s="15" t="s">
        <v>66</v>
      </c>
      <c r="C7" s="15" t="s">
        <v>85</v>
      </c>
      <c r="D7" s="15" t="s">
        <v>86</v>
      </c>
      <c r="E7" s="16" t="s">
        <v>87</v>
      </c>
      <c r="F7" s="16" t="s">
        <v>70</v>
      </c>
      <c r="G7" s="17" t="s">
        <v>71</v>
      </c>
      <c r="H7" s="14" t="s">
        <v>88</v>
      </c>
      <c r="I7" s="16" t="s">
        <v>89</v>
      </c>
      <c r="J7" s="15" t="s">
        <v>90</v>
      </c>
      <c r="K7" s="17" t="s">
        <v>75</v>
      </c>
      <c r="L7" s="16" t="s">
        <v>76</v>
      </c>
      <c r="M7" s="17" t="s">
        <v>91</v>
      </c>
    </row>
    <row r="8" customFormat="false" ht="27.75" hidden="false" customHeight="true" outlineLevel="0" collapsed="false">
      <c r="A8" s="14" t="s">
        <v>92</v>
      </c>
      <c r="B8" s="15" t="s">
        <v>66</v>
      </c>
      <c r="C8" s="15" t="s">
        <v>93</v>
      </c>
      <c r="D8" s="15" t="s">
        <v>94</v>
      </c>
      <c r="E8" s="16" t="s">
        <v>87</v>
      </c>
      <c r="F8" s="16" t="s">
        <v>95</v>
      </c>
      <c r="G8" s="17" t="s">
        <v>71</v>
      </c>
      <c r="H8" s="14" t="s">
        <v>96</v>
      </c>
      <c r="I8" s="16" t="s">
        <v>89</v>
      </c>
      <c r="J8" s="15" t="s">
        <v>97</v>
      </c>
      <c r="K8" s="17" t="s">
        <v>98</v>
      </c>
      <c r="L8" s="16" t="s">
        <v>76</v>
      </c>
      <c r="M8" s="16" t="s">
        <v>99</v>
      </c>
    </row>
    <row r="9" customFormat="false" ht="18" hidden="false" customHeight="true" outlineLevel="0" collapsed="false">
      <c r="A9" s="14" t="s">
        <v>100</v>
      </c>
      <c r="B9" s="15" t="s">
        <v>66</v>
      </c>
      <c r="C9" s="15" t="s">
        <v>101</v>
      </c>
      <c r="D9" s="15" t="s">
        <v>102</v>
      </c>
      <c r="E9" s="16" t="s">
        <v>87</v>
      </c>
      <c r="F9" s="16" t="s">
        <v>95</v>
      </c>
      <c r="G9" s="17" t="s">
        <v>71</v>
      </c>
      <c r="H9" s="14" t="s">
        <v>103</v>
      </c>
      <c r="I9" s="16" t="s">
        <v>89</v>
      </c>
      <c r="J9" s="15" t="s">
        <v>104</v>
      </c>
      <c r="K9" s="17" t="s">
        <v>98</v>
      </c>
      <c r="L9" s="16" t="s">
        <v>76</v>
      </c>
      <c r="M9" s="16"/>
    </row>
    <row r="10" customFormat="false" ht="27.75" hidden="false" customHeight="true" outlineLevel="0" collapsed="false">
      <c r="A10" s="14" t="s">
        <v>105</v>
      </c>
      <c r="B10" s="15" t="s">
        <v>66</v>
      </c>
      <c r="C10" s="15" t="s">
        <v>106</v>
      </c>
      <c r="D10" s="15" t="s">
        <v>107</v>
      </c>
      <c r="E10" s="16" t="s">
        <v>87</v>
      </c>
      <c r="F10" s="16" t="s">
        <v>108</v>
      </c>
      <c r="G10" s="17" t="s">
        <v>71</v>
      </c>
      <c r="H10" s="14" t="s">
        <v>109</v>
      </c>
      <c r="I10" s="17" t="s">
        <v>110</v>
      </c>
      <c r="J10" s="15" t="s">
        <v>111</v>
      </c>
      <c r="K10" s="17" t="s">
        <v>112</v>
      </c>
      <c r="L10" s="16" t="s">
        <v>76</v>
      </c>
      <c r="M10" s="16"/>
    </row>
    <row r="11" customFormat="false" ht="36" hidden="false" customHeight="true" outlineLevel="0" collapsed="false">
      <c r="A11" s="14" t="s">
        <v>113</v>
      </c>
      <c r="B11" s="15" t="s">
        <v>66</v>
      </c>
      <c r="C11" s="15" t="s">
        <v>114</v>
      </c>
      <c r="D11" s="15" t="s">
        <v>115</v>
      </c>
      <c r="E11" s="16" t="s">
        <v>69</v>
      </c>
      <c r="F11" s="16" t="s">
        <v>108</v>
      </c>
      <c r="G11" s="17" t="s">
        <v>71</v>
      </c>
      <c r="H11" s="14" t="s">
        <v>116</v>
      </c>
      <c r="I11" s="17" t="s">
        <v>117</v>
      </c>
      <c r="J11" s="15" t="s">
        <v>118</v>
      </c>
      <c r="K11" s="17" t="s">
        <v>112</v>
      </c>
      <c r="L11" s="16" t="s">
        <v>76</v>
      </c>
      <c r="M11" s="16" t="s">
        <v>119</v>
      </c>
    </row>
    <row r="12" customFormat="false" ht="18" hidden="false" customHeight="true" outlineLevel="0" collapsed="false">
      <c r="A12" s="14" t="s">
        <v>120</v>
      </c>
      <c r="B12" s="15" t="s">
        <v>66</v>
      </c>
      <c r="C12" s="15" t="s">
        <v>121</v>
      </c>
      <c r="D12" s="15" t="s">
        <v>122</v>
      </c>
      <c r="E12" s="16" t="s">
        <v>87</v>
      </c>
      <c r="F12" s="16" t="s">
        <v>108</v>
      </c>
      <c r="G12" s="17" t="s">
        <v>71</v>
      </c>
      <c r="H12" s="14" t="s">
        <v>123</v>
      </c>
      <c r="I12" s="16" t="s">
        <v>89</v>
      </c>
      <c r="J12" s="15" t="s">
        <v>124</v>
      </c>
      <c r="K12" s="17" t="s">
        <v>125</v>
      </c>
      <c r="L12" s="16" t="s">
        <v>76</v>
      </c>
      <c r="M12" s="16" t="s">
        <v>126</v>
      </c>
    </row>
    <row r="13" customFormat="false" ht="36" hidden="false" customHeight="true" outlineLevel="0" collapsed="false">
      <c r="A13" s="14" t="s">
        <v>127</v>
      </c>
      <c r="B13" s="15" t="s">
        <v>128</v>
      </c>
      <c r="C13" s="15" t="s">
        <v>129</v>
      </c>
      <c r="D13" s="15" t="s">
        <v>130</v>
      </c>
      <c r="E13" s="16" t="s">
        <v>69</v>
      </c>
      <c r="F13" s="16" t="s">
        <v>70</v>
      </c>
      <c r="G13" s="18" t="s">
        <v>131</v>
      </c>
      <c r="H13" s="14" t="s">
        <v>132</v>
      </c>
      <c r="I13" s="16" t="s">
        <v>89</v>
      </c>
      <c r="J13" s="15" t="s">
        <v>133</v>
      </c>
      <c r="K13" s="17" t="s">
        <v>134</v>
      </c>
      <c r="L13" s="16" t="s">
        <v>131</v>
      </c>
      <c r="M13" s="16" t="s">
        <v>135</v>
      </c>
    </row>
    <row r="14" customFormat="false" ht="31.5" hidden="false" customHeight="true" outlineLevel="0" collapsed="false">
      <c r="A14" s="14" t="s">
        <v>136</v>
      </c>
      <c r="B14" s="15" t="s">
        <v>137</v>
      </c>
      <c r="C14" s="15" t="s">
        <v>138</v>
      </c>
      <c r="D14" s="15" t="s">
        <v>139</v>
      </c>
      <c r="E14" s="16" t="s">
        <v>140</v>
      </c>
      <c r="F14" s="16" t="s">
        <v>70</v>
      </c>
      <c r="G14" s="17" t="s">
        <v>71</v>
      </c>
      <c r="H14" s="14" t="s">
        <v>141</v>
      </c>
      <c r="I14" s="17" t="s">
        <v>142</v>
      </c>
      <c r="J14" s="15" t="s">
        <v>143</v>
      </c>
      <c r="K14" s="17" t="s">
        <v>144</v>
      </c>
      <c r="L14" s="16" t="s">
        <v>76</v>
      </c>
      <c r="M14" s="16" t="s">
        <v>145</v>
      </c>
    </row>
    <row r="15" customFormat="false" ht="31.5" hidden="false" customHeight="true" outlineLevel="0" collapsed="false">
      <c r="A15" s="14" t="s">
        <v>146</v>
      </c>
      <c r="B15" s="15" t="s">
        <v>137</v>
      </c>
      <c r="C15" s="15" t="s">
        <v>147</v>
      </c>
      <c r="D15" s="14" t="s">
        <v>148</v>
      </c>
      <c r="E15" s="16" t="s">
        <v>140</v>
      </c>
      <c r="F15" s="16" t="s">
        <v>70</v>
      </c>
      <c r="G15" s="17" t="s">
        <v>71</v>
      </c>
      <c r="H15" s="14" t="s">
        <v>149</v>
      </c>
      <c r="I15" s="17" t="s">
        <v>150</v>
      </c>
      <c r="J15" s="15" t="s">
        <v>151</v>
      </c>
      <c r="K15" s="17" t="s">
        <v>152</v>
      </c>
      <c r="L15" s="16" t="s">
        <v>76</v>
      </c>
      <c r="M15" s="16"/>
    </row>
    <row r="16" customFormat="false" ht="27.75" hidden="false" customHeight="true" outlineLevel="0" collapsed="false">
      <c r="A16" s="14" t="s">
        <v>153</v>
      </c>
      <c r="B16" s="15" t="s">
        <v>137</v>
      </c>
      <c r="C16" s="15" t="s">
        <v>154</v>
      </c>
      <c r="D16" s="15" t="s">
        <v>155</v>
      </c>
      <c r="E16" s="16" t="s">
        <v>140</v>
      </c>
      <c r="F16" s="16" t="s">
        <v>95</v>
      </c>
      <c r="G16" s="17" t="s">
        <v>71</v>
      </c>
      <c r="H16" s="14" t="s">
        <v>156</v>
      </c>
      <c r="I16" s="17" t="s">
        <v>157</v>
      </c>
      <c r="J16" s="15" t="s">
        <v>158</v>
      </c>
      <c r="K16" s="17" t="s">
        <v>159</v>
      </c>
      <c r="L16" s="16" t="s">
        <v>76</v>
      </c>
      <c r="M16" s="16"/>
    </row>
    <row r="17" customFormat="false" ht="27.75" hidden="false" customHeight="true" outlineLevel="0" collapsed="false">
      <c r="A17" s="14" t="s">
        <v>160</v>
      </c>
      <c r="B17" s="15" t="s">
        <v>137</v>
      </c>
      <c r="C17" s="15" t="s">
        <v>161</v>
      </c>
      <c r="D17" s="15" t="s">
        <v>162</v>
      </c>
      <c r="E17" s="16" t="s">
        <v>87</v>
      </c>
      <c r="F17" s="16" t="s">
        <v>108</v>
      </c>
      <c r="G17" s="17" t="s">
        <v>71</v>
      </c>
      <c r="H17" s="14" t="s">
        <v>163</v>
      </c>
      <c r="I17" s="17" t="s">
        <v>164</v>
      </c>
      <c r="J17" s="15" t="s">
        <v>165</v>
      </c>
      <c r="K17" s="17" t="s">
        <v>166</v>
      </c>
      <c r="L17" s="16" t="s">
        <v>76</v>
      </c>
      <c r="M17" s="16"/>
    </row>
    <row r="18" customFormat="false" ht="36" hidden="false" customHeight="true" outlineLevel="0" collapsed="false">
      <c r="A18" s="14" t="s">
        <v>167</v>
      </c>
      <c r="B18" s="15" t="s">
        <v>168</v>
      </c>
      <c r="C18" s="15" t="s">
        <v>169</v>
      </c>
      <c r="D18" s="15" t="s">
        <v>170</v>
      </c>
      <c r="E18" s="16" t="s">
        <v>87</v>
      </c>
      <c r="F18" s="16" t="s">
        <v>70</v>
      </c>
      <c r="G18" s="17" t="s">
        <v>71</v>
      </c>
      <c r="H18" s="14" t="s">
        <v>171</v>
      </c>
      <c r="I18" s="17" t="s">
        <v>172</v>
      </c>
      <c r="J18" s="15" t="s">
        <v>173</v>
      </c>
      <c r="K18" s="17" t="s">
        <v>174</v>
      </c>
      <c r="L18" s="16" t="s">
        <v>76</v>
      </c>
      <c r="M18" s="16" t="s">
        <v>175</v>
      </c>
    </row>
    <row r="19" customFormat="false" ht="36" hidden="false" customHeight="true" outlineLevel="0" collapsed="false">
      <c r="A19" s="14" t="s">
        <v>176</v>
      </c>
      <c r="B19" s="15" t="s">
        <v>168</v>
      </c>
      <c r="C19" s="15" t="s">
        <v>177</v>
      </c>
      <c r="D19" s="15" t="s">
        <v>178</v>
      </c>
      <c r="E19" s="16" t="s">
        <v>87</v>
      </c>
      <c r="F19" s="16" t="s">
        <v>70</v>
      </c>
      <c r="G19" s="17" t="s">
        <v>71</v>
      </c>
      <c r="H19" s="14" t="s">
        <v>171</v>
      </c>
      <c r="I19" s="17" t="s">
        <v>172</v>
      </c>
      <c r="J19" s="15" t="s">
        <v>179</v>
      </c>
      <c r="K19" s="17" t="s">
        <v>180</v>
      </c>
      <c r="L19" s="16" t="s">
        <v>76</v>
      </c>
      <c r="M19" s="16" t="s">
        <v>181</v>
      </c>
    </row>
    <row r="20" customFormat="false" ht="18" hidden="false" customHeight="true" outlineLevel="0" collapsed="false">
      <c r="A20" s="14" t="s">
        <v>182</v>
      </c>
      <c r="B20" s="15" t="s">
        <v>168</v>
      </c>
      <c r="C20" s="15" t="s">
        <v>183</v>
      </c>
      <c r="D20" s="15" t="s">
        <v>184</v>
      </c>
      <c r="E20" s="16" t="s">
        <v>87</v>
      </c>
      <c r="F20" s="16" t="s">
        <v>95</v>
      </c>
      <c r="G20" s="17" t="s">
        <v>185</v>
      </c>
      <c r="H20" s="14" t="s">
        <v>171</v>
      </c>
      <c r="I20" s="17" t="s">
        <v>172</v>
      </c>
      <c r="J20" s="15" t="s">
        <v>186</v>
      </c>
      <c r="K20" s="17" t="s">
        <v>187</v>
      </c>
      <c r="L20" s="16" t="s">
        <v>76</v>
      </c>
      <c r="M20" s="16" t="s">
        <v>188</v>
      </c>
    </row>
    <row r="21" customFormat="false" ht="31.5" hidden="false" customHeight="true" outlineLevel="0" collapsed="false">
      <c r="A21" s="14" t="s">
        <v>189</v>
      </c>
      <c r="B21" s="15" t="s">
        <v>168</v>
      </c>
      <c r="C21" s="15" t="s">
        <v>190</v>
      </c>
      <c r="D21" s="15" t="s">
        <v>191</v>
      </c>
      <c r="E21" s="16" t="s">
        <v>87</v>
      </c>
      <c r="F21" s="17" t="s">
        <v>172</v>
      </c>
      <c r="G21" s="16" t="s">
        <v>131</v>
      </c>
      <c r="H21" s="14" t="s">
        <v>192</v>
      </c>
      <c r="I21" s="17" t="s">
        <v>172</v>
      </c>
      <c r="J21" s="15"/>
      <c r="K21" s="16"/>
      <c r="L21" s="16" t="s">
        <v>131</v>
      </c>
      <c r="M21" s="16" t="s">
        <v>193</v>
      </c>
    </row>
    <row r="22" customFormat="false" ht="36" hidden="false" customHeight="true" outlineLevel="0" collapsed="false">
      <c r="A22" s="14" t="s">
        <v>194</v>
      </c>
      <c r="B22" s="15" t="s">
        <v>128</v>
      </c>
      <c r="C22" s="15" t="s">
        <v>195</v>
      </c>
      <c r="D22" s="15" t="s">
        <v>196</v>
      </c>
      <c r="E22" s="16" t="s">
        <v>197</v>
      </c>
      <c r="F22" s="16" t="s">
        <v>70</v>
      </c>
      <c r="G22" s="17" t="s">
        <v>71</v>
      </c>
      <c r="H22" s="14" t="s">
        <v>198</v>
      </c>
      <c r="I22" s="17" t="s">
        <v>199</v>
      </c>
      <c r="J22" s="15" t="s">
        <v>200</v>
      </c>
      <c r="K22" s="17" t="s">
        <v>201</v>
      </c>
      <c r="L22" s="16" t="s">
        <v>76</v>
      </c>
      <c r="M22" s="16" t="s">
        <v>202</v>
      </c>
    </row>
    <row r="23" customFormat="false" ht="27.75" hidden="false" customHeight="true" outlineLevel="0" collapsed="false">
      <c r="A23" s="14" t="s">
        <v>203</v>
      </c>
      <c r="B23" s="15" t="s">
        <v>128</v>
      </c>
      <c r="C23" s="15" t="s">
        <v>204</v>
      </c>
      <c r="D23" s="15" t="s">
        <v>205</v>
      </c>
      <c r="E23" s="16" t="s">
        <v>197</v>
      </c>
      <c r="F23" s="16" t="s">
        <v>95</v>
      </c>
      <c r="G23" s="17" t="s">
        <v>71</v>
      </c>
      <c r="H23" s="14" t="s">
        <v>206</v>
      </c>
      <c r="I23" s="16" t="s">
        <v>89</v>
      </c>
      <c r="J23" s="15" t="s">
        <v>207</v>
      </c>
      <c r="K23" s="17" t="s">
        <v>201</v>
      </c>
      <c r="L23" s="16" t="s">
        <v>76</v>
      </c>
      <c r="M23" s="17" t="s">
        <v>208</v>
      </c>
    </row>
    <row r="24" customFormat="false" ht="27.75" hidden="false" customHeight="true" outlineLevel="0" collapsed="false">
      <c r="A24" s="14" t="s">
        <v>209</v>
      </c>
      <c r="B24" s="15" t="s">
        <v>128</v>
      </c>
      <c r="C24" s="15" t="s">
        <v>210</v>
      </c>
      <c r="D24" s="15" t="s">
        <v>211</v>
      </c>
      <c r="E24" s="16" t="s">
        <v>197</v>
      </c>
      <c r="F24" s="16" t="s">
        <v>95</v>
      </c>
      <c r="G24" s="17" t="s">
        <v>71</v>
      </c>
      <c r="H24" s="14" t="s">
        <v>212</v>
      </c>
      <c r="I24" s="16" t="s">
        <v>89</v>
      </c>
      <c r="J24" s="15" t="s">
        <v>213</v>
      </c>
      <c r="K24" s="17" t="s">
        <v>201</v>
      </c>
      <c r="L24" s="16" t="s">
        <v>76</v>
      </c>
      <c r="M24" s="16" t="s">
        <v>214</v>
      </c>
    </row>
    <row r="25" customFormat="false" ht="18" hidden="false" customHeight="true" outlineLevel="0" collapsed="false">
      <c r="A25" s="14" t="s">
        <v>215</v>
      </c>
      <c r="B25" s="15" t="s">
        <v>216</v>
      </c>
      <c r="C25" s="15" t="s">
        <v>217</v>
      </c>
      <c r="D25" s="15" t="s">
        <v>218</v>
      </c>
      <c r="E25" s="16" t="s">
        <v>197</v>
      </c>
      <c r="F25" s="17" t="s">
        <v>172</v>
      </c>
      <c r="G25" s="16" t="s">
        <v>131</v>
      </c>
      <c r="H25" s="14" t="s">
        <v>171</v>
      </c>
      <c r="I25" s="17" t="s">
        <v>172</v>
      </c>
      <c r="J25" s="15"/>
      <c r="K25" s="16"/>
      <c r="L25" s="16" t="s">
        <v>131</v>
      </c>
      <c r="M25" s="16" t="s">
        <v>219</v>
      </c>
    </row>
    <row r="26" customFormat="false" ht="36" hidden="false" customHeight="true" outlineLevel="0" collapsed="false">
      <c r="A26" s="14" t="s">
        <v>220</v>
      </c>
      <c r="B26" s="15" t="s">
        <v>216</v>
      </c>
      <c r="C26" s="15" t="s">
        <v>221</v>
      </c>
      <c r="D26" s="15" t="s">
        <v>222</v>
      </c>
      <c r="E26" s="16" t="s">
        <v>87</v>
      </c>
      <c r="F26" s="17" t="s">
        <v>172</v>
      </c>
      <c r="G26" s="16" t="s">
        <v>131</v>
      </c>
      <c r="H26" s="14" t="s">
        <v>171</v>
      </c>
      <c r="I26" s="17" t="s">
        <v>172</v>
      </c>
      <c r="J26" s="15"/>
      <c r="K26" s="16"/>
      <c r="L26" s="16" t="s">
        <v>131</v>
      </c>
      <c r="M26" s="16" t="s">
        <v>223</v>
      </c>
    </row>
    <row r="27" customFormat="false" ht="18" hidden="false" customHeight="true" outlineLevel="0" collapsed="false">
      <c r="A27" s="14" t="s">
        <v>224</v>
      </c>
      <c r="B27" s="15" t="s">
        <v>216</v>
      </c>
      <c r="C27" s="15" t="s">
        <v>225</v>
      </c>
      <c r="D27" s="15" t="s">
        <v>226</v>
      </c>
      <c r="E27" s="16" t="s">
        <v>87</v>
      </c>
      <c r="F27" s="17" t="s">
        <v>172</v>
      </c>
      <c r="G27" s="16" t="s">
        <v>131</v>
      </c>
      <c r="H27" s="14" t="s">
        <v>171</v>
      </c>
      <c r="I27" s="17" t="s">
        <v>172</v>
      </c>
      <c r="J27" s="15"/>
      <c r="K27" s="16"/>
      <c r="L27" s="16" t="s">
        <v>131</v>
      </c>
      <c r="M27" s="16"/>
    </row>
    <row r="28" customFormat="false" ht="42" hidden="false" customHeight="true" outlineLevel="0" collapsed="false">
      <c r="A28" s="14" t="s">
        <v>227</v>
      </c>
      <c r="B28" s="15" t="s">
        <v>228</v>
      </c>
      <c r="C28" s="15" t="s">
        <v>229</v>
      </c>
      <c r="D28" s="15" t="s">
        <v>230</v>
      </c>
      <c r="E28" s="16" t="s">
        <v>231</v>
      </c>
      <c r="F28" s="16" t="s">
        <v>95</v>
      </c>
      <c r="G28" s="17" t="s">
        <v>71</v>
      </c>
      <c r="H28" s="14" t="s">
        <v>232</v>
      </c>
      <c r="I28" s="17" t="s">
        <v>233</v>
      </c>
      <c r="J28" s="15" t="s">
        <v>234</v>
      </c>
      <c r="K28" s="17" t="s">
        <v>235</v>
      </c>
      <c r="L28" s="16" t="s">
        <v>76</v>
      </c>
      <c r="M28" s="16" t="s">
        <v>236</v>
      </c>
    </row>
  </sheetData>
  <autoFilter ref="A4:M28"/>
  <conditionalFormatting sqref="L5:L28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I5:I28">
    <cfRule type="cellIs" priority="5" operator="equal" aboveAverage="0" equalAverage="0" bottom="0" percent="0" rank="0" text="" dxfId="10">
      <formula>"要確認"</formula>
    </cfRule>
  </conditionalFormatting>
  <dataValidations count="3">
    <dataValidation allowBlank="true" errorStyle="stop" operator="between" showDropDown="false" showErrorMessage="false" showInputMessage="false" sqref="F5:F28" type="list">
      <formula1>"高,中,低,-"</formula1>
      <formula2>0</formula2>
    </dataValidation>
    <dataValidation allowBlank="true" errorStyle="stop" operator="between" showDropDown="false" showErrorMessage="false" showInputMessage="false" sqref="G5:G28" type="list">
      <formula1>"Phase1,Phase2,対象外"</formula1>
      <formula2>0</formula2>
    </dataValidation>
    <dataValidation allowBlank="true" errorStyle="stop" operator="between" showDropDown="false" showErrorMessage="false" showInputMessage="false" sqref="L5:L28" type="list">
      <formula1>"未着手,作業中,完了,対象外"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60"/>
    <col collapsed="false" customWidth="true" hidden="false" outlineLevel="0" max="5" min="5" style="1" width="8"/>
    <col collapsed="false" customWidth="true" hidden="false" outlineLevel="0" max="6" min="6" style="1" width="34"/>
  </cols>
  <sheetData>
    <row r="1" customFormat="false" ht="18" hidden="false" customHeight="true" outlineLevel="0" collapsed="false">
      <c r="A1" s="2" t="s">
        <v>237</v>
      </c>
    </row>
    <row r="2" customFormat="false" ht="15" hidden="false" customHeight="true" outlineLevel="0" collapsed="false">
      <c r="A2" s="3" t="s">
        <v>238</v>
      </c>
    </row>
    <row r="4" customFormat="false" ht="15" hidden="false" customHeight="true" outlineLevel="0" collapsed="false">
      <c r="A4" s="19" t="s">
        <v>239</v>
      </c>
      <c r="B4" s="13" t="s">
        <v>240</v>
      </c>
      <c r="C4" s="13" t="s">
        <v>241</v>
      </c>
      <c r="D4" s="13" t="s">
        <v>242</v>
      </c>
      <c r="E4" s="13" t="s">
        <v>243</v>
      </c>
      <c r="F4" s="13" t="s">
        <v>64</v>
      </c>
    </row>
    <row r="5" customFormat="false" ht="18" hidden="false" customHeight="true" outlineLevel="0" collapsed="false">
      <c r="A5" s="14" t="s">
        <v>244</v>
      </c>
      <c r="B5" s="15" t="s">
        <v>245</v>
      </c>
      <c r="C5" s="15" t="s">
        <v>246</v>
      </c>
      <c r="D5" s="14" t="s">
        <v>247</v>
      </c>
      <c r="E5" s="16" t="s">
        <v>248</v>
      </c>
      <c r="F5" s="16"/>
    </row>
    <row r="6" customFormat="false" ht="18" hidden="false" customHeight="true" outlineLevel="0" collapsed="false">
      <c r="A6" s="14" t="s">
        <v>249</v>
      </c>
      <c r="B6" s="15" t="s">
        <v>245</v>
      </c>
      <c r="C6" s="15" t="s">
        <v>250</v>
      </c>
      <c r="D6" s="14" t="s">
        <v>251</v>
      </c>
      <c r="E6" s="16" t="s">
        <v>248</v>
      </c>
      <c r="F6" s="16"/>
    </row>
    <row r="7" customFormat="false" ht="18" hidden="false" customHeight="true" outlineLevel="0" collapsed="false">
      <c r="A7" s="14" t="s">
        <v>252</v>
      </c>
      <c r="B7" s="15" t="s">
        <v>245</v>
      </c>
      <c r="C7" s="14" t="s">
        <v>253</v>
      </c>
      <c r="D7" s="14" t="s">
        <v>254</v>
      </c>
      <c r="E7" s="16" t="s">
        <v>248</v>
      </c>
      <c r="F7" s="16"/>
    </row>
    <row r="8" customFormat="false" ht="18" hidden="false" customHeight="true" outlineLevel="0" collapsed="false">
      <c r="A8" s="14" t="s">
        <v>255</v>
      </c>
      <c r="B8" s="15" t="s">
        <v>245</v>
      </c>
      <c r="C8" s="15" t="s">
        <v>256</v>
      </c>
      <c r="D8" s="14" t="s">
        <v>257</v>
      </c>
      <c r="E8" s="16" t="s">
        <v>248</v>
      </c>
      <c r="F8" s="17" t="s">
        <v>258</v>
      </c>
    </row>
    <row r="9" customFormat="false" ht="18" hidden="false" customHeight="true" outlineLevel="0" collapsed="false">
      <c r="A9" s="14" t="s">
        <v>259</v>
      </c>
      <c r="B9" s="15" t="s">
        <v>245</v>
      </c>
      <c r="C9" s="15" t="s">
        <v>260</v>
      </c>
      <c r="D9" s="15" t="s">
        <v>261</v>
      </c>
      <c r="E9" s="16" t="s">
        <v>248</v>
      </c>
      <c r="F9" s="16"/>
    </row>
    <row r="10" customFormat="false" ht="18" hidden="false" customHeight="true" outlineLevel="0" collapsed="false">
      <c r="A10" s="14" t="s">
        <v>262</v>
      </c>
      <c r="B10" s="15" t="s">
        <v>245</v>
      </c>
      <c r="C10" s="15" t="s">
        <v>263</v>
      </c>
      <c r="D10" s="15" t="s">
        <v>264</v>
      </c>
      <c r="E10" s="16" t="s">
        <v>265</v>
      </c>
      <c r="F10" s="16" t="s">
        <v>266</v>
      </c>
    </row>
    <row r="11" customFormat="false" ht="18" hidden="false" customHeight="true" outlineLevel="0" collapsed="false">
      <c r="A11" s="14" t="s">
        <v>267</v>
      </c>
      <c r="B11" s="15" t="s">
        <v>268</v>
      </c>
      <c r="C11" s="15" t="s">
        <v>269</v>
      </c>
      <c r="D11" s="15" t="s">
        <v>270</v>
      </c>
      <c r="E11" s="16" t="s">
        <v>265</v>
      </c>
      <c r="F11" s="16"/>
    </row>
    <row r="12" customFormat="false" ht="18" hidden="false" customHeight="true" outlineLevel="0" collapsed="false">
      <c r="A12" s="14" t="s">
        <v>271</v>
      </c>
      <c r="B12" s="15" t="s">
        <v>272</v>
      </c>
      <c r="C12" s="14" t="s">
        <v>273</v>
      </c>
      <c r="D12" s="15" t="s">
        <v>274</v>
      </c>
      <c r="E12" s="16" t="s">
        <v>265</v>
      </c>
      <c r="F12" s="17" t="s">
        <v>275</v>
      </c>
    </row>
    <row r="13" customFormat="false" ht="18" hidden="false" customHeight="true" outlineLevel="0" collapsed="false">
      <c r="A13" s="14" t="s">
        <v>276</v>
      </c>
      <c r="B13" s="15" t="s">
        <v>272</v>
      </c>
      <c r="C13" s="15" t="s">
        <v>277</v>
      </c>
      <c r="D13" s="14" t="s">
        <v>278</v>
      </c>
      <c r="E13" s="16" t="s">
        <v>248</v>
      </c>
      <c r="F13" s="16"/>
    </row>
    <row r="14" customFormat="false" ht="31.5" hidden="false" customHeight="true" outlineLevel="0" collapsed="false">
      <c r="A14" s="14" t="s">
        <v>279</v>
      </c>
      <c r="B14" s="15" t="s">
        <v>280</v>
      </c>
      <c r="C14" s="15" t="s">
        <v>281</v>
      </c>
      <c r="D14" s="14" t="s">
        <v>282</v>
      </c>
      <c r="E14" s="16" t="s">
        <v>248</v>
      </c>
      <c r="F14" s="16"/>
    </row>
    <row r="15" customFormat="false" ht="18" hidden="false" customHeight="true" outlineLevel="0" collapsed="false">
      <c r="A15" s="14" t="s">
        <v>283</v>
      </c>
      <c r="B15" s="15" t="s">
        <v>280</v>
      </c>
      <c r="C15" s="15" t="s">
        <v>284</v>
      </c>
      <c r="D15" s="15" t="s">
        <v>285</v>
      </c>
      <c r="E15" s="16" t="s">
        <v>248</v>
      </c>
      <c r="F15" s="16"/>
    </row>
    <row r="16" customFormat="false" ht="18" hidden="false" customHeight="true" outlineLevel="0" collapsed="false">
      <c r="A16" s="14" t="s">
        <v>286</v>
      </c>
      <c r="B16" s="15" t="s">
        <v>280</v>
      </c>
      <c r="C16" s="15" t="s">
        <v>287</v>
      </c>
      <c r="D16" s="15" t="s">
        <v>288</v>
      </c>
      <c r="E16" s="16" t="s">
        <v>265</v>
      </c>
      <c r="F16" s="16" t="s">
        <v>289</v>
      </c>
    </row>
    <row r="17" customFormat="false" ht="36" hidden="false" customHeight="true" outlineLevel="0" collapsed="false">
      <c r="A17" s="14" t="s">
        <v>290</v>
      </c>
      <c r="B17" s="15" t="s">
        <v>291</v>
      </c>
      <c r="C17" s="15" t="s">
        <v>292</v>
      </c>
      <c r="D17" s="15" t="s">
        <v>293</v>
      </c>
      <c r="E17" s="16" t="s">
        <v>265</v>
      </c>
      <c r="F17" s="16"/>
    </row>
    <row r="18" customFormat="false" ht="18" hidden="false" customHeight="true" outlineLevel="0" collapsed="false">
      <c r="A18" s="14" t="s">
        <v>294</v>
      </c>
      <c r="B18" s="15" t="s">
        <v>295</v>
      </c>
      <c r="C18" s="15" t="s">
        <v>296</v>
      </c>
      <c r="D18" s="14" t="s">
        <v>297</v>
      </c>
      <c r="E18" s="16" t="s">
        <v>248</v>
      </c>
      <c r="F18" s="16" t="s">
        <v>298</v>
      </c>
    </row>
    <row r="19" customFormat="false" ht="45.75" hidden="false" customHeight="true" outlineLevel="0" collapsed="false">
      <c r="A19" s="14" t="s">
        <v>299</v>
      </c>
      <c r="B19" s="15" t="s">
        <v>245</v>
      </c>
      <c r="C19" s="15" t="s">
        <v>300</v>
      </c>
      <c r="D19" s="15" t="s">
        <v>301</v>
      </c>
      <c r="E19" s="16" t="s">
        <v>265</v>
      </c>
      <c r="F19" s="16" t="s">
        <v>302</v>
      </c>
    </row>
    <row r="20" customFormat="false" ht="36" hidden="false" customHeight="true" outlineLevel="0" collapsed="false">
      <c r="A20" s="14" t="s">
        <v>303</v>
      </c>
      <c r="B20" s="15" t="s">
        <v>245</v>
      </c>
      <c r="C20" s="14" t="s">
        <v>304</v>
      </c>
      <c r="D20" s="15" t="s">
        <v>305</v>
      </c>
      <c r="E20" s="16" t="s">
        <v>248</v>
      </c>
      <c r="F20" s="16" t="s">
        <v>306</v>
      </c>
    </row>
  </sheetData>
  <autoFilter ref="A4:F20"/>
  <dataValidations count="1">
    <dataValidation allowBlank="true" errorStyle="stop" operator="between" showDropDown="false" showErrorMessage="false" showInputMessage="false" sqref="E5:E20" type="list">
      <formula1>"確定,案"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36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9" min="9" style="1" width="9"/>
  </cols>
  <sheetData>
    <row r="1" customFormat="false" ht="18" hidden="false" customHeight="true" outlineLevel="0" collapsed="false">
      <c r="A1" s="2" t="s">
        <v>307</v>
      </c>
    </row>
    <row r="2" customFormat="false" ht="15" hidden="false" customHeight="true" outlineLevel="0" collapsed="false">
      <c r="A2" s="3" t="s">
        <v>308</v>
      </c>
    </row>
    <row r="4" customFormat="false" ht="29.25" hidden="false" customHeight="true" outlineLevel="0" collapsed="false">
      <c r="A4" s="13" t="s">
        <v>309</v>
      </c>
      <c r="B4" s="13" t="s">
        <v>310</v>
      </c>
      <c r="C4" s="19" t="s">
        <v>311</v>
      </c>
      <c r="D4" s="13" t="s">
        <v>312</v>
      </c>
      <c r="E4" s="13" t="s">
        <v>313</v>
      </c>
      <c r="F4" s="13" t="s">
        <v>314</v>
      </c>
      <c r="G4" s="13" t="s">
        <v>315</v>
      </c>
      <c r="H4" s="13" t="s">
        <v>58</v>
      </c>
      <c r="I4" s="13" t="s">
        <v>63</v>
      </c>
    </row>
    <row r="5" customFormat="false" ht="18" hidden="false" customHeight="true" outlineLevel="0" collapsed="false">
      <c r="A5" s="14" t="s">
        <v>316</v>
      </c>
      <c r="B5" s="16" t="s">
        <v>317</v>
      </c>
      <c r="C5" s="17" t="s">
        <v>318</v>
      </c>
      <c r="D5" s="16" t="s">
        <v>319</v>
      </c>
      <c r="E5" s="16" t="s">
        <v>320</v>
      </c>
      <c r="F5" s="17" t="s">
        <v>136</v>
      </c>
      <c r="G5" s="15" t="str">
        <f aca="false">IFERROR(INDEX(機能要件一覧!$C$5:$C$28,MATCH(F5,機能要件一覧!$A$5:$A$28,0)),"")</f>
        <v>商品一覧表示</v>
      </c>
      <c r="H5" s="15" t="str">
        <f aca="false">IFERROR(INDEX(機能要件一覧!$G$5:$G$28,MATCH(F5,機能要件一覧!$A$5:$A$28,0)),"")</f>
        <v>Phase1</v>
      </c>
      <c r="I5" s="16" t="s">
        <v>76</v>
      </c>
    </row>
    <row r="6" customFormat="false" ht="18" hidden="false" customHeight="true" outlineLevel="0" collapsed="false">
      <c r="A6" s="14" t="s">
        <v>321</v>
      </c>
      <c r="B6" s="16" t="s">
        <v>322</v>
      </c>
      <c r="C6" s="17" t="s">
        <v>323</v>
      </c>
      <c r="D6" s="16" t="s">
        <v>319</v>
      </c>
      <c r="E6" s="16" t="s">
        <v>324</v>
      </c>
      <c r="F6" s="17" t="s">
        <v>146</v>
      </c>
      <c r="G6" s="15" t="str">
        <f aca="false">IFERROR(INDEX(機能要件一覧!$C$5:$C$28,MATCH(F6,機能要件一覧!$A$5:$A$28,0)),"")</f>
        <v>商品詳細表示</v>
      </c>
      <c r="H6" s="15" t="str">
        <f aca="false">IFERROR(INDEX(機能要件一覧!$G$5:$G$28,MATCH(F6,機能要件一覧!$A$5:$A$28,0)),"")</f>
        <v>Phase1</v>
      </c>
      <c r="I6" s="16" t="s">
        <v>76</v>
      </c>
    </row>
    <row r="7" customFormat="false" ht="18" hidden="false" customHeight="true" outlineLevel="0" collapsed="false">
      <c r="A7" s="14" t="s">
        <v>325</v>
      </c>
      <c r="B7" s="16" t="s">
        <v>169</v>
      </c>
      <c r="C7" s="17" t="s">
        <v>326</v>
      </c>
      <c r="D7" s="16" t="s">
        <v>327</v>
      </c>
      <c r="E7" s="16" t="s">
        <v>328</v>
      </c>
      <c r="F7" s="17" t="s">
        <v>167</v>
      </c>
      <c r="G7" s="15" t="str">
        <f aca="false">IFERROR(INDEX(機能要件一覧!$C$5:$C$28,MATCH(F7,機能要件一覧!$A$5:$A$28,0)),"")</f>
        <v>カート</v>
      </c>
      <c r="H7" s="15" t="str">
        <f aca="false">IFERROR(INDEX(機能要件一覧!$G$5:$G$28,MATCH(F7,機能要件一覧!$A$5:$A$28,0)),"")</f>
        <v>Phase1</v>
      </c>
      <c r="I7" s="16" t="s">
        <v>76</v>
      </c>
    </row>
    <row r="8" customFormat="false" ht="18" hidden="false" customHeight="true" outlineLevel="0" collapsed="false">
      <c r="A8" s="14" t="s">
        <v>329</v>
      </c>
      <c r="B8" s="16" t="s">
        <v>330</v>
      </c>
      <c r="C8" s="17" t="s">
        <v>331</v>
      </c>
      <c r="D8" s="16" t="s">
        <v>327</v>
      </c>
      <c r="E8" s="16" t="s">
        <v>332</v>
      </c>
      <c r="F8" s="17" t="s">
        <v>176</v>
      </c>
      <c r="G8" s="15" t="str">
        <f aca="false">IFERROR(INDEX(機能要件一覧!$C$5:$C$28,MATCH(F8,機能要件一覧!$A$5:$A$28,0)),"")</f>
        <v>注文確定(決済なし)</v>
      </c>
      <c r="H8" s="15" t="str">
        <f aca="false">IFERROR(INDEX(機能要件一覧!$G$5:$G$28,MATCH(F8,機能要件一覧!$A$5:$A$28,0)),"")</f>
        <v>Phase1</v>
      </c>
      <c r="I8" s="16" t="s">
        <v>76</v>
      </c>
    </row>
    <row r="9" customFormat="false" ht="18" hidden="false" customHeight="true" outlineLevel="0" collapsed="false">
      <c r="A9" s="14" t="s">
        <v>333</v>
      </c>
      <c r="B9" s="16" t="s">
        <v>334</v>
      </c>
      <c r="C9" s="17" t="s">
        <v>335</v>
      </c>
      <c r="D9" s="16" t="s">
        <v>327</v>
      </c>
      <c r="E9" s="16" t="s">
        <v>336</v>
      </c>
      <c r="F9" s="17" t="s">
        <v>176</v>
      </c>
      <c r="G9" s="15" t="str">
        <f aca="false">IFERROR(INDEX(機能要件一覧!$C$5:$C$28,MATCH(F9,機能要件一覧!$A$5:$A$28,0)),"")</f>
        <v>注文確定(決済なし)</v>
      </c>
      <c r="H9" s="15" t="str">
        <f aca="false">IFERROR(INDEX(機能要件一覧!$G$5:$G$28,MATCH(F9,機能要件一覧!$A$5:$A$28,0)),"")</f>
        <v>Phase1</v>
      </c>
      <c r="I9" s="16" t="s">
        <v>76</v>
      </c>
    </row>
    <row r="10" customFormat="false" ht="18" hidden="false" customHeight="true" outlineLevel="0" collapsed="false">
      <c r="A10" s="14" t="s">
        <v>337</v>
      </c>
      <c r="B10" s="16" t="s">
        <v>338</v>
      </c>
      <c r="C10" s="17" t="s">
        <v>339</v>
      </c>
      <c r="D10" s="16" t="s">
        <v>319</v>
      </c>
      <c r="E10" s="16" t="s">
        <v>340</v>
      </c>
      <c r="F10" s="17" t="s">
        <v>65</v>
      </c>
      <c r="G10" s="15" t="str">
        <f aca="false">IFERROR(INDEX(機能要件一覧!$C$5:$C$28,MATCH(F10,機能要件一覧!$A$5:$A$28,0)),"")</f>
        <v>ユーザー登録</v>
      </c>
      <c r="H10" s="15" t="str">
        <f aca="false">IFERROR(INDEX(機能要件一覧!$G$5:$G$28,MATCH(F10,機能要件一覧!$A$5:$A$28,0)),"")</f>
        <v>Phase1</v>
      </c>
      <c r="I10" s="16" t="s">
        <v>76</v>
      </c>
    </row>
    <row r="11" customFormat="false" ht="18" hidden="false" customHeight="true" outlineLevel="0" collapsed="false">
      <c r="A11" s="14" t="s">
        <v>341</v>
      </c>
      <c r="B11" s="16" t="s">
        <v>79</v>
      </c>
      <c r="C11" s="17" t="s">
        <v>342</v>
      </c>
      <c r="D11" s="16" t="s">
        <v>319</v>
      </c>
      <c r="E11" s="16" t="s">
        <v>343</v>
      </c>
      <c r="F11" s="17" t="s">
        <v>78</v>
      </c>
      <c r="G11" s="15" t="str">
        <f aca="false">IFERROR(INDEX(機能要件一覧!$C$5:$C$28,MATCH(F11,機能要件一覧!$A$5:$A$28,0)),"")</f>
        <v>ログイン</v>
      </c>
      <c r="H11" s="15" t="str">
        <f aca="false">IFERROR(INDEX(機能要件一覧!$G$5:$G$28,MATCH(F11,機能要件一覧!$A$5:$A$28,0)),"")</f>
        <v>Phase1</v>
      </c>
      <c r="I11" s="16" t="s">
        <v>76</v>
      </c>
    </row>
    <row r="12" customFormat="false" ht="18" hidden="false" customHeight="true" outlineLevel="0" collapsed="false">
      <c r="A12" s="14" t="s">
        <v>344</v>
      </c>
      <c r="B12" s="16" t="s">
        <v>101</v>
      </c>
      <c r="C12" s="17" t="s">
        <v>345</v>
      </c>
      <c r="D12" s="16" t="s">
        <v>327</v>
      </c>
      <c r="E12" s="16" t="s">
        <v>346</v>
      </c>
      <c r="F12" s="17" t="s">
        <v>100</v>
      </c>
      <c r="G12" s="15" t="str">
        <f aca="false">IFERROR(INDEX(機能要件一覧!$C$5:$C$28,MATCH(F12,機能要件一覧!$A$5:$A$28,0)),"")</f>
        <v>プロフィール編集</v>
      </c>
      <c r="H12" s="15" t="str">
        <f aca="false">IFERROR(INDEX(機能要件一覧!$G$5:$G$28,MATCH(F12,機能要件一覧!$A$5:$A$28,0)),"")</f>
        <v>Phase1</v>
      </c>
      <c r="I12" s="16" t="s">
        <v>76</v>
      </c>
    </row>
    <row r="13" customFormat="false" ht="18" hidden="false" customHeight="true" outlineLevel="0" collapsed="false">
      <c r="A13" s="14" t="s">
        <v>347</v>
      </c>
      <c r="B13" s="16" t="s">
        <v>106</v>
      </c>
      <c r="C13" s="17" t="s">
        <v>348</v>
      </c>
      <c r="D13" s="16" t="s">
        <v>327</v>
      </c>
      <c r="E13" s="16" t="s">
        <v>349</v>
      </c>
      <c r="F13" s="17" t="s">
        <v>105</v>
      </c>
      <c r="G13" s="15" t="str">
        <f aca="false">IFERROR(INDEX(機能要件一覧!$C$5:$C$28,MATCH(F13,機能要件一覧!$A$5:$A$28,0)),"")</f>
        <v>パスワード変更</v>
      </c>
      <c r="H13" s="15" t="str">
        <f aca="false">IFERROR(INDEX(機能要件一覧!$G$5:$G$28,MATCH(F13,機能要件一覧!$A$5:$A$28,0)),"")</f>
        <v>Phase1</v>
      </c>
      <c r="I13" s="16" t="s">
        <v>76</v>
      </c>
    </row>
    <row r="14" customFormat="false" ht="18" hidden="false" customHeight="true" outlineLevel="0" collapsed="false">
      <c r="A14" s="14" t="s">
        <v>350</v>
      </c>
      <c r="B14" s="16" t="s">
        <v>351</v>
      </c>
      <c r="C14" s="17" t="s">
        <v>352</v>
      </c>
      <c r="D14" s="16" t="s">
        <v>319</v>
      </c>
      <c r="E14" s="16" t="s">
        <v>353</v>
      </c>
      <c r="F14" s="17" t="s">
        <v>113</v>
      </c>
      <c r="G14" s="15" t="str">
        <f aca="false">IFERROR(INDEX(機能要件一覧!$C$5:$C$28,MATCH(F14,機能要件一覧!$A$5:$A$28,0)),"")</f>
        <v>パスワードリマインダー</v>
      </c>
      <c r="H14" s="15" t="str">
        <f aca="false">IFERROR(INDEX(機能要件一覧!$G$5:$G$28,MATCH(F14,機能要件一覧!$A$5:$A$28,0)),"")</f>
        <v>Phase1</v>
      </c>
      <c r="I14" s="16" t="s">
        <v>76</v>
      </c>
    </row>
    <row r="15" customFormat="false" ht="18" hidden="false" customHeight="true" outlineLevel="0" collapsed="false">
      <c r="A15" s="14" t="s">
        <v>354</v>
      </c>
      <c r="B15" s="16" t="s">
        <v>355</v>
      </c>
      <c r="C15" s="17" t="s">
        <v>356</v>
      </c>
      <c r="D15" s="16" t="s">
        <v>327</v>
      </c>
      <c r="E15" s="16" t="s">
        <v>357</v>
      </c>
      <c r="F15" s="17" t="s">
        <v>182</v>
      </c>
      <c r="G15" s="15" t="str">
        <f aca="false">IFERROR(INDEX(機能要件一覧!$C$5:$C$28,MATCH(F15,機能要件一覧!$A$5:$A$28,0)),"")</f>
        <v>注文履歴表示</v>
      </c>
      <c r="H15" s="15" t="str">
        <f aca="false">IFERROR(INDEX(機能要件一覧!$G$5:$G$28,MATCH(F15,機能要件一覧!$A$5:$A$28,0)),"")</f>
        <v>Phase2</v>
      </c>
      <c r="I15" s="16" t="s">
        <v>76</v>
      </c>
    </row>
    <row r="16" customFormat="false" ht="18" hidden="false" customHeight="true" outlineLevel="0" collapsed="false">
      <c r="A16" s="14" t="s">
        <v>358</v>
      </c>
      <c r="B16" s="16" t="s">
        <v>359</v>
      </c>
      <c r="C16" s="17" t="s">
        <v>360</v>
      </c>
      <c r="D16" s="16" t="s">
        <v>327</v>
      </c>
      <c r="E16" s="16" t="s">
        <v>361</v>
      </c>
      <c r="F16" s="17" t="s">
        <v>160</v>
      </c>
      <c r="G16" s="15" t="str">
        <f aca="false">IFERROR(INDEX(機能要件一覧!$C$5:$C$28,MATCH(F16,機能要件一覧!$A$5:$A$28,0)),"")</f>
        <v>お気に入り登録</v>
      </c>
      <c r="H16" s="15" t="str">
        <f aca="false">IFERROR(INDEX(機能要件一覧!$G$5:$G$28,MATCH(F16,機能要件一覧!$A$5:$A$28,0)),"")</f>
        <v>Phase1</v>
      </c>
      <c r="I16" s="16" t="s">
        <v>76</v>
      </c>
    </row>
    <row r="17" customFormat="false" ht="18" hidden="false" customHeight="true" outlineLevel="0" collapsed="false">
      <c r="A17" s="14" t="s">
        <v>362</v>
      </c>
      <c r="B17" s="16" t="s">
        <v>363</v>
      </c>
      <c r="C17" s="17" t="s">
        <v>364</v>
      </c>
      <c r="D17" s="16" t="s">
        <v>327</v>
      </c>
      <c r="E17" s="16" t="s">
        <v>365</v>
      </c>
      <c r="F17" s="17" t="s">
        <v>120</v>
      </c>
      <c r="G17" s="15" t="str">
        <f aca="false">IFERROR(INDEX(機能要件一覧!$C$5:$C$28,MATCH(F17,機能要件一覧!$A$5:$A$28,0)),"")</f>
        <v>退会</v>
      </c>
      <c r="H17" s="15" t="str">
        <f aca="false">IFERROR(INDEX(機能要件一覧!$G$5:$G$28,MATCH(F17,機能要件一覧!$A$5:$A$28,0)),"")</f>
        <v>Phase1</v>
      </c>
      <c r="I17" s="16" t="s">
        <v>76</v>
      </c>
    </row>
    <row r="18" customFormat="false" ht="18" hidden="false" customHeight="true" outlineLevel="0" collapsed="false">
      <c r="A18" s="14" t="s">
        <v>366</v>
      </c>
      <c r="B18" s="16" t="s">
        <v>367</v>
      </c>
      <c r="C18" s="17" t="s">
        <v>368</v>
      </c>
      <c r="D18" s="16" t="s">
        <v>319</v>
      </c>
      <c r="E18" s="16" t="s">
        <v>369</v>
      </c>
      <c r="F18" s="17" t="s">
        <v>127</v>
      </c>
      <c r="G18" s="15" t="str">
        <f aca="false">IFERROR(INDEX(機能要件一覧!$C$5:$C$28,MATCH(F18,機能要件一覧!$A$5:$A$28,0)),"")</f>
        <v>販売側ユーザー登録</v>
      </c>
      <c r="H18" s="15" t="str">
        <f aca="false">IFERROR(INDEX(機能要件一覧!$G$5:$G$28,MATCH(F18,機能要件一覧!$A$5:$A$28,0)),"")</f>
        <v>対象外</v>
      </c>
      <c r="I18" s="16" t="s">
        <v>76</v>
      </c>
    </row>
    <row r="19" customFormat="false" ht="18" hidden="false" customHeight="true" outlineLevel="0" collapsed="false">
      <c r="A19" s="14" t="s">
        <v>370</v>
      </c>
      <c r="B19" s="16" t="s">
        <v>371</v>
      </c>
      <c r="C19" s="17" t="s">
        <v>372</v>
      </c>
      <c r="D19" s="16" t="s">
        <v>197</v>
      </c>
      <c r="E19" s="16" t="s">
        <v>373</v>
      </c>
      <c r="F19" s="17" t="s">
        <v>209</v>
      </c>
      <c r="G19" s="15" t="str">
        <f aca="false">IFERROR(INDEX(機能要件一覧!$C$5:$C$28,MATCH(F19,機能要件一覧!$A$5:$A$28,0)),"")</f>
        <v>商品削除</v>
      </c>
      <c r="H19" s="15" t="str">
        <f aca="false">IFERROR(INDEX(機能要件一覧!$G$5:$G$28,MATCH(F19,機能要件一覧!$A$5:$A$28,0)),"")</f>
        <v>Phase1</v>
      </c>
      <c r="I19" s="16" t="s">
        <v>76</v>
      </c>
    </row>
    <row r="20" customFormat="false" ht="18" hidden="false" customHeight="true" outlineLevel="0" collapsed="false">
      <c r="A20" s="14" t="s">
        <v>374</v>
      </c>
      <c r="B20" s="16" t="s">
        <v>375</v>
      </c>
      <c r="C20" s="17" t="s">
        <v>376</v>
      </c>
      <c r="D20" s="16" t="s">
        <v>197</v>
      </c>
      <c r="E20" s="16" t="s">
        <v>377</v>
      </c>
      <c r="F20" s="17" t="s">
        <v>194</v>
      </c>
      <c r="G20" s="15" t="str">
        <f aca="false">IFERROR(INDEX(機能要件一覧!$C$5:$C$28,MATCH(F20,機能要件一覧!$A$5:$A$28,0)),"")</f>
        <v>商品登録</v>
      </c>
      <c r="H20" s="15" t="str">
        <f aca="false">IFERROR(INDEX(機能要件一覧!$G$5:$G$28,MATCH(F20,機能要件一覧!$A$5:$A$28,0)),"")</f>
        <v>Phase1</v>
      </c>
      <c r="I20" s="16" t="s">
        <v>76</v>
      </c>
    </row>
    <row r="21" customFormat="false" ht="18" hidden="false" customHeight="true" outlineLevel="0" collapsed="false">
      <c r="A21" s="14" t="s">
        <v>378</v>
      </c>
      <c r="B21" s="16" t="s">
        <v>379</v>
      </c>
      <c r="C21" s="17" t="s">
        <v>380</v>
      </c>
      <c r="D21" s="16" t="s">
        <v>197</v>
      </c>
      <c r="E21" s="16" t="s">
        <v>381</v>
      </c>
      <c r="F21" s="17" t="s">
        <v>203</v>
      </c>
      <c r="G21" s="15" t="str">
        <f aca="false">IFERROR(INDEX(機能要件一覧!$C$5:$C$28,MATCH(F21,機能要件一覧!$A$5:$A$28,0)),"")</f>
        <v>商品編集</v>
      </c>
      <c r="H21" s="15" t="str">
        <f aca="false">IFERROR(INDEX(機能要件一覧!$G$5:$G$28,MATCH(F21,機能要件一覧!$A$5:$A$28,0)),"")</f>
        <v>Phase1</v>
      </c>
      <c r="I21" s="16" t="s">
        <v>76</v>
      </c>
    </row>
    <row r="22" customFormat="false" ht="18" hidden="false" customHeight="true" outlineLevel="0" collapsed="false">
      <c r="A22" s="14" t="s">
        <v>382</v>
      </c>
      <c r="B22" s="16" t="s">
        <v>383</v>
      </c>
      <c r="C22" s="17" t="s">
        <v>384</v>
      </c>
      <c r="D22" s="16" t="s">
        <v>327</v>
      </c>
      <c r="E22" s="16" t="s">
        <v>385</v>
      </c>
      <c r="F22" s="17" t="s">
        <v>227</v>
      </c>
      <c r="G22" s="15" t="str">
        <f aca="false">IFERROR(INDEX(機能要件一覧!$C$5:$C$28,MATCH(F22,機能要件一覧!$A$5:$A$28,0)),"")</f>
        <v>連絡掲示板</v>
      </c>
      <c r="H22" s="15" t="str">
        <f aca="false">IFERROR(INDEX(機能要件一覧!$G$5:$G$28,MATCH(F22,機能要件一覧!$A$5:$A$28,0)),"")</f>
        <v>Phase1</v>
      </c>
      <c r="I22" s="16" t="s">
        <v>76</v>
      </c>
    </row>
    <row r="23" customFormat="false" ht="18" hidden="false" customHeight="true" outlineLevel="0" collapsed="false">
      <c r="A23" s="14" t="s">
        <v>386</v>
      </c>
      <c r="B23" s="16" t="s">
        <v>387</v>
      </c>
      <c r="C23" s="17" t="s">
        <v>388</v>
      </c>
      <c r="D23" s="16" t="s">
        <v>197</v>
      </c>
      <c r="E23" s="16" t="s">
        <v>389</v>
      </c>
      <c r="F23" s="17" t="s">
        <v>227</v>
      </c>
      <c r="G23" s="15" t="str">
        <f aca="false">IFERROR(INDEX(機能要件一覧!$C$5:$C$28,MATCH(F23,機能要件一覧!$A$5:$A$28,0)),"")</f>
        <v>連絡掲示板</v>
      </c>
      <c r="H23" s="15" t="str">
        <f aca="false">IFERROR(INDEX(機能要件一覧!$G$5:$G$28,MATCH(F23,機能要件一覧!$A$5:$A$28,0)),"")</f>
        <v>Phase1</v>
      </c>
      <c r="I23" s="16" t="s">
        <v>76</v>
      </c>
    </row>
    <row r="24" customFormat="false" ht="18" hidden="false" customHeight="true" outlineLevel="0" collapsed="false">
      <c r="A24" s="14" t="s">
        <v>390</v>
      </c>
      <c r="B24" s="16" t="s">
        <v>391</v>
      </c>
      <c r="C24" s="17" t="s">
        <v>392</v>
      </c>
      <c r="D24" s="16" t="s">
        <v>197</v>
      </c>
      <c r="E24" s="16" t="s">
        <v>393</v>
      </c>
      <c r="F24" s="17" t="s">
        <v>227</v>
      </c>
      <c r="G24" s="15" t="str">
        <f aca="false">IFERROR(INDEX(機能要件一覧!$C$5:$C$28,MATCH(F24,機能要件一覧!$A$5:$A$28,0)),"")</f>
        <v>連絡掲示板</v>
      </c>
      <c r="H24" s="15" t="str">
        <f aca="false">IFERROR(INDEX(機能要件一覧!$G$5:$G$28,MATCH(F24,機能要件一覧!$A$5:$A$28,0)),"")</f>
        <v>Phase1</v>
      </c>
      <c r="I24" s="16" t="s">
        <v>76</v>
      </c>
    </row>
  </sheetData>
  <autoFilter ref="A4:I24"/>
  <conditionalFormatting sqref="I5:I24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dataValidations count="2">
    <dataValidation allowBlank="true" errorStyle="stop" operator="between" showDropDown="false" showErrorMessage="false" showInputMessage="false" sqref="D5:D24" type="list">
      <formula1>"不要,要ログイン,出品者"</formula1>
      <formula2>0</formula2>
    </dataValidation>
    <dataValidation allowBlank="true" errorStyle="stop" operator="between" showDropDown="false" showErrorMessage="false" showInputMessage="false" sqref="I5:I24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6"/>
    <col collapsed="false" customWidth="true" hidden="false" outlineLevel="0" max="6" min="6" style="1" width="56"/>
    <col collapsed="false" customWidth="true" hidden="false" outlineLevel="0" max="7" min="7" style="1" width="10"/>
    <col collapsed="false" customWidth="true" hidden="false" outlineLevel="0" max="8" min="8" style="1" width="14"/>
  </cols>
  <sheetData>
    <row r="1" customFormat="false" ht="18" hidden="false" customHeight="true" outlineLevel="0" collapsed="false">
      <c r="A1" s="2" t="s">
        <v>394</v>
      </c>
    </row>
    <row r="2" customFormat="false" ht="15" hidden="false" customHeight="true" outlineLevel="0" collapsed="false">
      <c r="A2" s="3" t="s">
        <v>395</v>
      </c>
    </row>
    <row r="4" customFormat="false" ht="29.25" hidden="false" customHeight="true" outlineLevel="0" collapsed="false">
      <c r="A4" s="13" t="s">
        <v>396</v>
      </c>
      <c r="B4" s="13" t="s">
        <v>397</v>
      </c>
      <c r="C4" s="13" t="s">
        <v>398</v>
      </c>
      <c r="D4" s="19" t="s">
        <v>399</v>
      </c>
      <c r="E4" s="13" t="s">
        <v>400</v>
      </c>
      <c r="F4" s="13" t="s">
        <v>401</v>
      </c>
      <c r="G4" s="13" t="s">
        <v>58</v>
      </c>
      <c r="H4" s="13" t="s">
        <v>402</v>
      </c>
    </row>
    <row r="5" customFormat="false" ht="18" hidden="false" customHeight="true" outlineLevel="0" collapsed="false">
      <c r="A5" s="14" t="s">
        <v>403</v>
      </c>
      <c r="B5" s="14" t="s">
        <v>404</v>
      </c>
      <c r="C5" s="14" t="s">
        <v>405</v>
      </c>
      <c r="D5" s="14" t="s">
        <v>406</v>
      </c>
      <c r="E5" s="14" t="s">
        <v>407</v>
      </c>
      <c r="F5" s="15" t="s">
        <v>408</v>
      </c>
      <c r="G5" s="14" t="s">
        <v>71</v>
      </c>
      <c r="H5" s="15" t="s">
        <v>409</v>
      </c>
    </row>
    <row r="6" customFormat="false" ht="18" hidden="false" customHeight="true" outlineLevel="0" collapsed="false">
      <c r="A6" s="14" t="s">
        <v>403</v>
      </c>
      <c r="B6" s="14" t="s">
        <v>410</v>
      </c>
      <c r="C6" s="14" t="s">
        <v>411</v>
      </c>
      <c r="D6" s="14" t="s">
        <v>399</v>
      </c>
      <c r="E6" s="14"/>
      <c r="F6" s="15" t="s">
        <v>412</v>
      </c>
      <c r="G6" s="14" t="s">
        <v>71</v>
      </c>
      <c r="H6" s="15" t="s">
        <v>409</v>
      </c>
    </row>
    <row r="7" customFormat="false" ht="18" hidden="false" customHeight="true" outlineLevel="0" collapsed="false">
      <c r="A7" s="14" t="s">
        <v>403</v>
      </c>
      <c r="B7" s="14" t="s">
        <v>413</v>
      </c>
      <c r="C7" s="14" t="s">
        <v>414</v>
      </c>
      <c r="D7" s="14" t="s">
        <v>399</v>
      </c>
      <c r="E7" s="14"/>
      <c r="F7" s="15" t="s">
        <v>415</v>
      </c>
      <c r="G7" s="14" t="s">
        <v>71</v>
      </c>
      <c r="H7" s="15" t="s">
        <v>409</v>
      </c>
    </row>
    <row r="8" customFormat="false" ht="18" hidden="false" customHeight="true" outlineLevel="0" collapsed="false">
      <c r="A8" s="14" t="s">
        <v>403</v>
      </c>
      <c r="B8" s="14" t="s">
        <v>416</v>
      </c>
      <c r="C8" s="14" t="s">
        <v>411</v>
      </c>
      <c r="D8" s="14" t="s">
        <v>399</v>
      </c>
      <c r="E8" s="14"/>
      <c r="F8" s="15" t="s">
        <v>417</v>
      </c>
      <c r="G8" s="14" t="s">
        <v>71</v>
      </c>
      <c r="H8" s="15" t="s">
        <v>409</v>
      </c>
    </row>
    <row r="9" customFormat="false" ht="18" hidden="false" customHeight="true" outlineLevel="0" collapsed="false">
      <c r="A9" s="14" t="s">
        <v>403</v>
      </c>
      <c r="B9" s="14" t="s">
        <v>418</v>
      </c>
      <c r="C9" s="14" t="s">
        <v>411</v>
      </c>
      <c r="D9" s="14" t="s">
        <v>399</v>
      </c>
      <c r="E9" s="14"/>
      <c r="F9" s="15" t="s">
        <v>419</v>
      </c>
      <c r="G9" s="14" t="s">
        <v>71</v>
      </c>
      <c r="H9" s="15" t="s">
        <v>409</v>
      </c>
    </row>
    <row r="10" customFormat="false" ht="18" hidden="false" customHeight="true" outlineLevel="0" collapsed="false">
      <c r="A10" s="14" t="s">
        <v>403</v>
      </c>
      <c r="B10" s="14" t="s">
        <v>420</v>
      </c>
      <c r="C10" s="14" t="s">
        <v>411</v>
      </c>
      <c r="D10" s="14" t="s">
        <v>399</v>
      </c>
      <c r="E10" s="14"/>
      <c r="F10" s="15" t="s">
        <v>421</v>
      </c>
      <c r="G10" s="14" t="s">
        <v>71</v>
      </c>
      <c r="H10" s="15" t="s">
        <v>409</v>
      </c>
    </row>
    <row r="11" customFormat="false" ht="18" hidden="false" customHeight="true" outlineLevel="0" collapsed="false">
      <c r="A11" s="14" t="s">
        <v>403</v>
      </c>
      <c r="B11" s="14" t="s">
        <v>422</v>
      </c>
      <c r="C11" s="14" t="s">
        <v>411</v>
      </c>
      <c r="D11" s="14" t="s">
        <v>406</v>
      </c>
      <c r="E11" s="14" t="s">
        <v>423</v>
      </c>
      <c r="F11" s="15" t="s">
        <v>424</v>
      </c>
      <c r="G11" s="14" t="s">
        <v>71</v>
      </c>
      <c r="H11" s="15" t="s">
        <v>409</v>
      </c>
    </row>
    <row r="12" customFormat="false" ht="18" hidden="false" customHeight="true" outlineLevel="0" collapsed="false">
      <c r="A12" s="14" t="s">
        <v>403</v>
      </c>
      <c r="B12" s="14" t="s">
        <v>425</v>
      </c>
      <c r="C12" s="14" t="s">
        <v>411</v>
      </c>
      <c r="D12" s="14" t="s">
        <v>406</v>
      </c>
      <c r="E12" s="14"/>
      <c r="F12" s="15" t="s">
        <v>426</v>
      </c>
      <c r="G12" s="14" t="s">
        <v>71</v>
      </c>
      <c r="H12" s="15" t="s">
        <v>409</v>
      </c>
    </row>
    <row r="13" customFormat="false" ht="18" hidden="false" customHeight="true" outlineLevel="0" collapsed="false">
      <c r="A13" s="14" t="s">
        <v>403</v>
      </c>
      <c r="B13" s="14" t="s">
        <v>427</v>
      </c>
      <c r="C13" s="14" t="s">
        <v>428</v>
      </c>
      <c r="D13" s="14" t="s">
        <v>399</v>
      </c>
      <c r="E13" s="14"/>
      <c r="F13" s="15" t="s">
        <v>429</v>
      </c>
      <c r="G13" s="14" t="s">
        <v>71</v>
      </c>
      <c r="H13" s="15" t="s">
        <v>409</v>
      </c>
    </row>
    <row r="14" customFormat="false" ht="18" hidden="false" customHeight="true" outlineLevel="0" collapsed="false">
      <c r="A14" s="14" t="s">
        <v>403</v>
      </c>
      <c r="B14" s="14" t="s">
        <v>430</v>
      </c>
      <c r="C14" s="14" t="s">
        <v>411</v>
      </c>
      <c r="D14" s="14" t="s">
        <v>399</v>
      </c>
      <c r="E14" s="14"/>
      <c r="F14" s="15" t="s">
        <v>431</v>
      </c>
      <c r="G14" s="14" t="s">
        <v>71</v>
      </c>
      <c r="H14" s="15" t="s">
        <v>409</v>
      </c>
    </row>
    <row r="15" customFormat="false" ht="18" hidden="false" customHeight="true" outlineLevel="0" collapsed="false">
      <c r="A15" s="14" t="s">
        <v>403</v>
      </c>
      <c r="B15" s="14" t="s">
        <v>432</v>
      </c>
      <c r="C15" s="14" t="s">
        <v>433</v>
      </c>
      <c r="D15" s="14" t="s">
        <v>399</v>
      </c>
      <c r="E15" s="14"/>
      <c r="F15" s="15" t="s">
        <v>434</v>
      </c>
      <c r="G15" s="14" t="s">
        <v>71</v>
      </c>
      <c r="H15" s="15" t="s">
        <v>409</v>
      </c>
    </row>
    <row r="16" customFormat="false" ht="18" hidden="false" customHeight="true" outlineLevel="0" collapsed="false">
      <c r="A16" s="14" t="s">
        <v>403</v>
      </c>
      <c r="B16" s="14" t="s">
        <v>435</v>
      </c>
      <c r="C16" s="14" t="s">
        <v>433</v>
      </c>
      <c r="D16" s="14" t="s">
        <v>399</v>
      </c>
      <c r="E16" s="14"/>
      <c r="F16" s="15" t="s">
        <v>436</v>
      </c>
      <c r="G16" s="14" t="s">
        <v>71</v>
      </c>
      <c r="H16" s="15" t="s">
        <v>409</v>
      </c>
    </row>
    <row r="17" customFormat="false" ht="18" hidden="false" customHeight="true" outlineLevel="0" collapsed="false">
      <c r="A17" s="14" t="s">
        <v>437</v>
      </c>
      <c r="B17" s="14" t="s">
        <v>438</v>
      </c>
      <c r="C17" s="14" t="s">
        <v>172</v>
      </c>
      <c r="D17" s="14" t="s">
        <v>172</v>
      </c>
      <c r="E17" s="14"/>
      <c r="F17" s="15" t="s">
        <v>439</v>
      </c>
      <c r="G17" s="14" t="s">
        <v>71</v>
      </c>
      <c r="H17" s="15" t="s">
        <v>409</v>
      </c>
    </row>
    <row r="18" customFormat="false" ht="31.5" hidden="false" customHeight="true" outlineLevel="0" collapsed="false">
      <c r="A18" s="14" t="s">
        <v>440</v>
      </c>
      <c r="B18" s="14" t="s">
        <v>438</v>
      </c>
      <c r="C18" s="14" t="s">
        <v>172</v>
      </c>
      <c r="D18" s="14" t="s">
        <v>172</v>
      </c>
      <c r="E18" s="14"/>
      <c r="F18" s="15" t="s">
        <v>441</v>
      </c>
      <c r="G18" s="14" t="s">
        <v>71</v>
      </c>
      <c r="H18" s="15" t="s">
        <v>409</v>
      </c>
    </row>
    <row r="19" customFormat="false" ht="18" hidden="false" customHeight="true" outlineLevel="0" collapsed="false">
      <c r="A19" s="14" t="s">
        <v>442</v>
      </c>
      <c r="B19" s="14" t="s">
        <v>404</v>
      </c>
      <c r="C19" s="14" t="s">
        <v>405</v>
      </c>
      <c r="D19" s="14" t="s">
        <v>406</v>
      </c>
      <c r="E19" s="14" t="s">
        <v>407</v>
      </c>
      <c r="F19" s="15" t="s">
        <v>443</v>
      </c>
      <c r="G19" s="14" t="s">
        <v>71</v>
      </c>
      <c r="H19" s="15" t="s">
        <v>409</v>
      </c>
    </row>
    <row r="20" customFormat="false" ht="18" hidden="false" customHeight="true" outlineLevel="0" collapsed="false">
      <c r="A20" s="14" t="s">
        <v>442</v>
      </c>
      <c r="B20" s="14" t="s">
        <v>410</v>
      </c>
      <c r="C20" s="14" t="s">
        <v>411</v>
      </c>
      <c r="D20" s="14" t="s">
        <v>406</v>
      </c>
      <c r="E20" s="14"/>
      <c r="F20" s="15" t="s">
        <v>444</v>
      </c>
      <c r="G20" s="14" t="s">
        <v>71</v>
      </c>
      <c r="H20" s="15" t="s">
        <v>409</v>
      </c>
    </row>
    <row r="21" customFormat="false" ht="18" hidden="false" customHeight="true" outlineLevel="0" collapsed="false">
      <c r="A21" s="14" t="s">
        <v>442</v>
      </c>
      <c r="B21" s="14" t="s">
        <v>432</v>
      </c>
      <c r="C21" s="14" t="s">
        <v>433</v>
      </c>
      <c r="D21" s="14" t="s">
        <v>399</v>
      </c>
      <c r="E21" s="14"/>
      <c r="F21" s="15" t="s">
        <v>434</v>
      </c>
      <c r="G21" s="14" t="s">
        <v>71</v>
      </c>
      <c r="H21" s="15" t="s">
        <v>409</v>
      </c>
    </row>
    <row r="22" customFormat="false" ht="18" hidden="false" customHeight="true" outlineLevel="0" collapsed="false">
      <c r="A22" s="14" t="s">
        <v>442</v>
      </c>
      <c r="B22" s="14" t="s">
        <v>435</v>
      </c>
      <c r="C22" s="14" t="s">
        <v>433</v>
      </c>
      <c r="D22" s="14" t="s">
        <v>399</v>
      </c>
      <c r="E22" s="14"/>
      <c r="F22" s="15" t="s">
        <v>436</v>
      </c>
      <c r="G22" s="14" t="s">
        <v>71</v>
      </c>
      <c r="H22" s="15" t="s">
        <v>409</v>
      </c>
    </row>
    <row r="23" customFormat="false" ht="18" hidden="false" customHeight="true" outlineLevel="0" collapsed="false">
      <c r="A23" s="14" t="s">
        <v>445</v>
      </c>
      <c r="B23" s="14" t="s">
        <v>404</v>
      </c>
      <c r="C23" s="14" t="s">
        <v>405</v>
      </c>
      <c r="D23" s="14" t="s">
        <v>406</v>
      </c>
      <c r="E23" s="14" t="s">
        <v>407</v>
      </c>
      <c r="F23" s="15" t="s">
        <v>446</v>
      </c>
      <c r="G23" s="14" t="s">
        <v>71</v>
      </c>
      <c r="H23" s="15" t="s">
        <v>409</v>
      </c>
    </row>
    <row r="24" customFormat="false" ht="18" hidden="false" customHeight="true" outlineLevel="0" collapsed="false">
      <c r="A24" s="14" t="s">
        <v>445</v>
      </c>
      <c r="B24" s="14" t="s">
        <v>410</v>
      </c>
      <c r="C24" s="14" t="s">
        <v>411</v>
      </c>
      <c r="D24" s="14" t="s">
        <v>406</v>
      </c>
      <c r="E24" s="14"/>
      <c r="F24" s="15" t="s">
        <v>447</v>
      </c>
      <c r="G24" s="14" t="s">
        <v>71</v>
      </c>
      <c r="H24" s="15" t="s">
        <v>409</v>
      </c>
    </row>
    <row r="25" customFormat="false" ht="36" hidden="false" customHeight="true" outlineLevel="0" collapsed="false">
      <c r="A25" s="14" t="s">
        <v>445</v>
      </c>
      <c r="B25" s="14" t="s">
        <v>448</v>
      </c>
      <c r="C25" s="14" t="s">
        <v>405</v>
      </c>
      <c r="D25" s="14" t="s">
        <v>406</v>
      </c>
      <c r="E25" s="14" t="s">
        <v>449</v>
      </c>
      <c r="F25" s="15" t="s">
        <v>450</v>
      </c>
      <c r="G25" s="14" t="s">
        <v>71</v>
      </c>
      <c r="H25" s="15" t="s">
        <v>409</v>
      </c>
    </row>
    <row r="26" customFormat="false" ht="18" hidden="false" customHeight="true" outlineLevel="0" collapsed="false">
      <c r="A26" s="14" t="s">
        <v>445</v>
      </c>
      <c r="B26" s="14" t="s">
        <v>451</v>
      </c>
      <c r="C26" s="14" t="s">
        <v>411</v>
      </c>
      <c r="D26" s="14" t="s">
        <v>406</v>
      </c>
      <c r="E26" s="14"/>
      <c r="F26" s="15" t="s">
        <v>452</v>
      </c>
      <c r="G26" s="14" t="s">
        <v>71</v>
      </c>
      <c r="H26" s="15" t="s">
        <v>409</v>
      </c>
    </row>
    <row r="27" customFormat="false" ht="18" hidden="false" customHeight="true" outlineLevel="0" collapsed="false">
      <c r="A27" s="14" t="s">
        <v>445</v>
      </c>
      <c r="B27" s="14" t="s">
        <v>453</v>
      </c>
      <c r="C27" s="14" t="s">
        <v>414</v>
      </c>
      <c r="D27" s="14" t="s">
        <v>406</v>
      </c>
      <c r="E27" s="14"/>
      <c r="F27" s="15" t="s">
        <v>454</v>
      </c>
      <c r="G27" s="14" t="s">
        <v>71</v>
      </c>
      <c r="H27" s="15" t="s">
        <v>409</v>
      </c>
    </row>
    <row r="28" customFormat="false" ht="18" hidden="false" customHeight="true" outlineLevel="0" collapsed="false">
      <c r="A28" s="14" t="s">
        <v>445</v>
      </c>
      <c r="B28" s="14" t="s">
        <v>455</v>
      </c>
      <c r="C28" s="14" t="s">
        <v>411</v>
      </c>
      <c r="D28" s="14" t="s">
        <v>406</v>
      </c>
      <c r="E28" s="14"/>
      <c r="F28" s="15" t="s">
        <v>456</v>
      </c>
      <c r="G28" s="14" t="s">
        <v>71</v>
      </c>
      <c r="H28" s="15" t="s">
        <v>409</v>
      </c>
    </row>
    <row r="29" customFormat="false" ht="18" hidden="false" customHeight="true" outlineLevel="0" collapsed="false">
      <c r="A29" s="14" t="s">
        <v>445</v>
      </c>
      <c r="B29" s="14" t="s">
        <v>457</v>
      </c>
      <c r="C29" s="14" t="s">
        <v>411</v>
      </c>
      <c r="D29" s="14" t="s">
        <v>399</v>
      </c>
      <c r="E29" s="14"/>
      <c r="F29" s="15" t="s">
        <v>458</v>
      </c>
      <c r="G29" s="14" t="s">
        <v>71</v>
      </c>
      <c r="H29" s="15" t="s">
        <v>409</v>
      </c>
    </row>
    <row r="30" customFormat="false" ht="18" hidden="false" customHeight="true" outlineLevel="0" collapsed="false">
      <c r="A30" s="14" t="s">
        <v>445</v>
      </c>
      <c r="B30" s="14" t="s">
        <v>459</v>
      </c>
      <c r="C30" s="14" t="s">
        <v>411</v>
      </c>
      <c r="D30" s="14" t="s">
        <v>399</v>
      </c>
      <c r="E30" s="14"/>
      <c r="F30" s="15" t="s">
        <v>460</v>
      </c>
      <c r="G30" s="14" t="s">
        <v>71</v>
      </c>
      <c r="H30" s="15" t="s">
        <v>409</v>
      </c>
    </row>
    <row r="31" customFormat="false" ht="18" hidden="false" customHeight="true" outlineLevel="0" collapsed="false">
      <c r="A31" s="14" t="s">
        <v>445</v>
      </c>
      <c r="B31" s="14" t="s">
        <v>461</v>
      </c>
      <c r="C31" s="14" t="s">
        <v>405</v>
      </c>
      <c r="D31" s="14" t="s">
        <v>406</v>
      </c>
      <c r="E31" s="14" t="s">
        <v>462</v>
      </c>
      <c r="F31" s="15" t="s">
        <v>463</v>
      </c>
      <c r="G31" s="14" t="s">
        <v>71</v>
      </c>
      <c r="H31" s="15" t="s">
        <v>409</v>
      </c>
    </row>
    <row r="32" customFormat="false" ht="18" hidden="false" customHeight="true" outlineLevel="0" collapsed="false">
      <c r="A32" s="14" t="s">
        <v>445</v>
      </c>
      <c r="B32" s="14" t="s">
        <v>435</v>
      </c>
      <c r="C32" s="14" t="s">
        <v>433</v>
      </c>
      <c r="D32" s="14" t="s">
        <v>399</v>
      </c>
      <c r="E32" s="14"/>
      <c r="F32" s="15" t="s">
        <v>436</v>
      </c>
      <c r="G32" s="14" t="s">
        <v>71</v>
      </c>
      <c r="H32" s="15" t="s">
        <v>409</v>
      </c>
    </row>
    <row r="33" customFormat="false" ht="18" hidden="false" customHeight="true" outlineLevel="0" collapsed="false">
      <c r="A33" s="14" t="s">
        <v>445</v>
      </c>
      <c r="B33" s="14" t="s">
        <v>432</v>
      </c>
      <c r="C33" s="14" t="s">
        <v>433</v>
      </c>
      <c r="D33" s="14" t="s">
        <v>399</v>
      </c>
      <c r="E33" s="14"/>
      <c r="F33" s="15" t="s">
        <v>434</v>
      </c>
      <c r="G33" s="14" t="s">
        <v>71</v>
      </c>
      <c r="H33" s="15" t="s">
        <v>409</v>
      </c>
    </row>
    <row r="34" customFormat="false" ht="18" hidden="false" customHeight="true" outlineLevel="0" collapsed="false">
      <c r="A34" s="14" t="s">
        <v>464</v>
      </c>
      <c r="B34" s="14" t="s">
        <v>404</v>
      </c>
      <c r="C34" s="14" t="s">
        <v>405</v>
      </c>
      <c r="D34" s="14" t="s">
        <v>406</v>
      </c>
      <c r="E34" s="14" t="s">
        <v>407</v>
      </c>
      <c r="F34" s="15" t="s">
        <v>465</v>
      </c>
      <c r="G34" s="14" t="s">
        <v>71</v>
      </c>
      <c r="H34" s="15" t="s">
        <v>409</v>
      </c>
    </row>
    <row r="35" customFormat="false" ht="18" hidden="false" customHeight="true" outlineLevel="0" collapsed="false">
      <c r="A35" s="14" t="s">
        <v>464</v>
      </c>
      <c r="B35" s="14" t="s">
        <v>466</v>
      </c>
      <c r="C35" s="14" t="s">
        <v>405</v>
      </c>
      <c r="D35" s="14" t="s">
        <v>406</v>
      </c>
      <c r="E35" s="14" t="s">
        <v>462</v>
      </c>
      <c r="F35" s="15" t="s">
        <v>467</v>
      </c>
      <c r="G35" s="14" t="s">
        <v>71</v>
      </c>
      <c r="H35" s="15" t="s">
        <v>409</v>
      </c>
    </row>
    <row r="36" customFormat="false" ht="18" hidden="false" customHeight="true" outlineLevel="0" collapsed="false">
      <c r="A36" s="14" t="s">
        <v>464</v>
      </c>
      <c r="B36" s="14" t="s">
        <v>468</v>
      </c>
      <c r="C36" s="14" t="s">
        <v>405</v>
      </c>
      <c r="D36" s="14" t="s">
        <v>406</v>
      </c>
      <c r="E36" s="14" t="s">
        <v>462</v>
      </c>
      <c r="F36" s="15" t="s">
        <v>469</v>
      </c>
      <c r="G36" s="14" t="s">
        <v>71</v>
      </c>
      <c r="H36" s="15" t="s">
        <v>409</v>
      </c>
    </row>
    <row r="37" customFormat="false" ht="36" hidden="false" customHeight="true" outlineLevel="0" collapsed="false">
      <c r="A37" s="14" t="s">
        <v>464</v>
      </c>
      <c r="B37" s="14" t="s">
        <v>470</v>
      </c>
      <c r="C37" s="14" t="s">
        <v>405</v>
      </c>
      <c r="D37" s="14" t="s">
        <v>406</v>
      </c>
      <c r="E37" s="14" t="s">
        <v>471</v>
      </c>
      <c r="F37" s="15" t="s">
        <v>472</v>
      </c>
      <c r="G37" s="14" t="s">
        <v>71</v>
      </c>
      <c r="H37" s="15" t="s">
        <v>409</v>
      </c>
    </row>
    <row r="38" customFormat="false" ht="18" hidden="false" customHeight="true" outlineLevel="0" collapsed="false">
      <c r="A38" s="14" t="s">
        <v>464</v>
      </c>
      <c r="B38" s="14" t="s">
        <v>435</v>
      </c>
      <c r="C38" s="14" t="s">
        <v>433</v>
      </c>
      <c r="D38" s="14" t="s">
        <v>399</v>
      </c>
      <c r="E38" s="14"/>
      <c r="F38" s="15" t="s">
        <v>436</v>
      </c>
      <c r="G38" s="14" t="s">
        <v>71</v>
      </c>
      <c r="H38" s="15" t="s">
        <v>409</v>
      </c>
    </row>
    <row r="39" customFormat="false" ht="18" hidden="false" customHeight="true" outlineLevel="0" collapsed="false">
      <c r="A39" s="14" t="s">
        <v>464</v>
      </c>
      <c r="B39" s="14" t="s">
        <v>432</v>
      </c>
      <c r="C39" s="14" t="s">
        <v>433</v>
      </c>
      <c r="D39" s="14" t="s">
        <v>399</v>
      </c>
      <c r="E39" s="14"/>
      <c r="F39" s="15" t="s">
        <v>434</v>
      </c>
      <c r="G39" s="14" t="s">
        <v>71</v>
      </c>
      <c r="H39" s="15" t="s">
        <v>409</v>
      </c>
    </row>
    <row r="40" customFormat="false" ht="18" hidden="false" customHeight="true" outlineLevel="0" collapsed="false">
      <c r="A40" s="14" t="s">
        <v>473</v>
      </c>
      <c r="B40" s="14" t="s">
        <v>404</v>
      </c>
      <c r="C40" s="14" t="s">
        <v>405</v>
      </c>
      <c r="D40" s="14" t="s">
        <v>406</v>
      </c>
      <c r="E40" s="14" t="s">
        <v>407</v>
      </c>
      <c r="F40" s="15" t="s">
        <v>474</v>
      </c>
      <c r="G40" s="14" t="s">
        <v>71</v>
      </c>
      <c r="H40" s="15" t="s">
        <v>409</v>
      </c>
    </row>
    <row r="41" customFormat="false" ht="36" hidden="false" customHeight="true" outlineLevel="0" collapsed="false">
      <c r="A41" s="14" t="s">
        <v>473</v>
      </c>
      <c r="B41" s="14" t="s">
        <v>475</v>
      </c>
      <c r="C41" s="14" t="s">
        <v>405</v>
      </c>
      <c r="D41" s="14" t="s">
        <v>406</v>
      </c>
      <c r="E41" s="14" t="s">
        <v>476</v>
      </c>
      <c r="F41" s="15" t="s">
        <v>477</v>
      </c>
      <c r="G41" s="14" t="s">
        <v>71</v>
      </c>
      <c r="H41" s="15" t="s">
        <v>409</v>
      </c>
    </row>
    <row r="42" customFormat="false" ht="18" hidden="false" customHeight="true" outlineLevel="0" collapsed="false">
      <c r="A42" s="14" t="s">
        <v>473</v>
      </c>
      <c r="B42" s="14" t="s">
        <v>478</v>
      </c>
      <c r="C42" s="14" t="s">
        <v>433</v>
      </c>
      <c r="D42" s="14" t="s">
        <v>399</v>
      </c>
      <c r="E42" s="14"/>
      <c r="F42" s="15" t="s">
        <v>479</v>
      </c>
      <c r="G42" s="14" t="s">
        <v>71</v>
      </c>
      <c r="H42" s="15" t="s">
        <v>409</v>
      </c>
    </row>
    <row r="43" customFormat="false" ht="18" hidden="false" customHeight="true" outlineLevel="0" collapsed="false">
      <c r="A43" s="14" t="s">
        <v>473</v>
      </c>
      <c r="B43" s="14" t="s">
        <v>480</v>
      </c>
      <c r="C43" s="14" t="s">
        <v>405</v>
      </c>
      <c r="D43" s="14" t="s">
        <v>406</v>
      </c>
      <c r="E43" s="14" t="s">
        <v>462</v>
      </c>
      <c r="F43" s="15" t="s">
        <v>481</v>
      </c>
      <c r="G43" s="14" t="s">
        <v>71</v>
      </c>
      <c r="H43" s="15" t="s">
        <v>409</v>
      </c>
    </row>
    <row r="44" customFormat="false" ht="18" hidden="false" customHeight="true" outlineLevel="0" collapsed="false">
      <c r="A44" s="14" t="s">
        <v>473</v>
      </c>
      <c r="B44" s="14" t="s">
        <v>482</v>
      </c>
      <c r="C44" s="14" t="s">
        <v>405</v>
      </c>
      <c r="D44" s="14" t="s">
        <v>406</v>
      </c>
      <c r="E44" s="14" t="s">
        <v>462</v>
      </c>
      <c r="F44" s="15" t="s">
        <v>483</v>
      </c>
      <c r="G44" s="14" t="s">
        <v>71</v>
      </c>
      <c r="H44" s="15" t="s">
        <v>409</v>
      </c>
    </row>
    <row r="45" customFormat="false" ht="36" hidden="false" customHeight="true" outlineLevel="0" collapsed="false">
      <c r="A45" s="14" t="s">
        <v>473</v>
      </c>
      <c r="B45" s="14" t="s">
        <v>484</v>
      </c>
      <c r="C45" s="14" t="s">
        <v>485</v>
      </c>
      <c r="D45" s="14" t="s">
        <v>406</v>
      </c>
      <c r="E45" s="14"/>
      <c r="F45" s="15" t="s">
        <v>486</v>
      </c>
      <c r="G45" s="14" t="s">
        <v>71</v>
      </c>
      <c r="H45" s="15" t="s">
        <v>409</v>
      </c>
    </row>
    <row r="46" customFormat="false" ht="18" hidden="false" customHeight="true" outlineLevel="0" collapsed="false">
      <c r="A46" s="14" t="s">
        <v>473</v>
      </c>
      <c r="B46" s="14" t="s">
        <v>435</v>
      </c>
      <c r="C46" s="14" t="s">
        <v>433</v>
      </c>
      <c r="D46" s="14" t="s">
        <v>399</v>
      </c>
      <c r="E46" s="14"/>
      <c r="F46" s="15" t="s">
        <v>436</v>
      </c>
      <c r="G46" s="14" t="s">
        <v>71</v>
      </c>
      <c r="H46" s="15" t="s">
        <v>409</v>
      </c>
    </row>
    <row r="47" customFormat="false" ht="18" hidden="false" customHeight="true" outlineLevel="0" collapsed="false">
      <c r="A47" s="14" t="s">
        <v>473</v>
      </c>
      <c r="B47" s="14" t="s">
        <v>432</v>
      </c>
      <c r="C47" s="14" t="s">
        <v>433</v>
      </c>
      <c r="D47" s="14" t="s">
        <v>399</v>
      </c>
      <c r="E47" s="14"/>
      <c r="F47" s="15" t="s">
        <v>434</v>
      </c>
      <c r="G47" s="14" t="s">
        <v>71</v>
      </c>
      <c r="H47" s="15" t="s">
        <v>409</v>
      </c>
    </row>
    <row r="48" customFormat="false" ht="18" hidden="false" customHeight="true" outlineLevel="0" collapsed="false">
      <c r="A48" s="14" t="s">
        <v>487</v>
      </c>
      <c r="B48" s="14" t="s">
        <v>470</v>
      </c>
      <c r="C48" s="14" t="s">
        <v>405</v>
      </c>
      <c r="D48" s="14" t="s">
        <v>406</v>
      </c>
      <c r="E48" s="14" t="s">
        <v>488</v>
      </c>
      <c r="F48" s="15" t="s">
        <v>489</v>
      </c>
      <c r="G48" s="14" t="s">
        <v>71</v>
      </c>
      <c r="H48" s="15" t="s">
        <v>409</v>
      </c>
    </row>
    <row r="49" customFormat="false" ht="29.25" hidden="false" customHeight="true" outlineLevel="0" collapsed="false">
      <c r="A49" s="14" t="s">
        <v>487</v>
      </c>
      <c r="B49" s="14" t="s">
        <v>490</v>
      </c>
      <c r="C49" s="14" t="s">
        <v>405</v>
      </c>
      <c r="D49" s="14" t="s">
        <v>406</v>
      </c>
      <c r="E49" s="14" t="s">
        <v>491</v>
      </c>
      <c r="F49" s="15" t="s">
        <v>492</v>
      </c>
      <c r="G49" s="14" t="s">
        <v>71</v>
      </c>
      <c r="H49" s="15" t="s">
        <v>409</v>
      </c>
    </row>
    <row r="50" customFormat="false" ht="15" hidden="false" customHeight="true" outlineLevel="0" collapsed="false">
      <c r="A50" s="14" t="s">
        <v>487</v>
      </c>
      <c r="B50" s="14" t="s">
        <v>432</v>
      </c>
      <c r="C50" s="14" t="s">
        <v>433</v>
      </c>
      <c r="D50" s="14" t="s">
        <v>399</v>
      </c>
      <c r="E50" s="14"/>
      <c r="F50" s="15" t="s">
        <v>493</v>
      </c>
      <c r="G50" s="14" t="s">
        <v>71</v>
      </c>
      <c r="H50" s="15" t="s">
        <v>409</v>
      </c>
    </row>
    <row r="51" customFormat="false" ht="15" hidden="false" customHeight="true" outlineLevel="0" collapsed="false">
      <c r="A51" s="14" t="s">
        <v>494</v>
      </c>
      <c r="B51" s="14" t="s">
        <v>404</v>
      </c>
      <c r="C51" s="14" t="s">
        <v>405</v>
      </c>
      <c r="D51" s="14" t="s">
        <v>406</v>
      </c>
      <c r="E51" s="14" t="s">
        <v>407</v>
      </c>
      <c r="F51" s="15" t="s">
        <v>495</v>
      </c>
      <c r="G51" s="14" t="s">
        <v>71</v>
      </c>
      <c r="H51" s="15" t="s">
        <v>496</v>
      </c>
    </row>
    <row r="52" customFormat="false" ht="15" hidden="false" customHeight="true" outlineLevel="0" collapsed="false">
      <c r="A52" s="14" t="s">
        <v>494</v>
      </c>
      <c r="B52" s="14" t="s">
        <v>490</v>
      </c>
      <c r="C52" s="14" t="s">
        <v>405</v>
      </c>
      <c r="D52" s="14" t="s">
        <v>406</v>
      </c>
      <c r="E52" s="14" t="s">
        <v>462</v>
      </c>
      <c r="F52" s="15" t="s">
        <v>497</v>
      </c>
      <c r="G52" s="14" t="s">
        <v>71</v>
      </c>
      <c r="H52" s="15" t="s">
        <v>496</v>
      </c>
    </row>
    <row r="53" customFormat="false" ht="15" hidden="false" customHeight="true" outlineLevel="0" collapsed="false">
      <c r="A53" s="14" t="s">
        <v>494</v>
      </c>
      <c r="B53" s="14" t="s">
        <v>432</v>
      </c>
      <c r="C53" s="14" t="s">
        <v>433</v>
      </c>
      <c r="D53" s="14" t="s">
        <v>399</v>
      </c>
      <c r="E53" s="14"/>
      <c r="F53" s="15" t="s">
        <v>498</v>
      </c>
      <c r="G53" s="14" t="s">
        <v>71</v>
      </c>
      <c r="H53" s="15" t="s">
        <v>496</v>
      </c>
    </row>
    <row r="54" customFormat="false" ht="15" hidden="false" customHeight="true" outlineLevel="0" collapsed="false">
      <c r="A54" s="14" t="s">
        <v>499</v>
      </c>
      <c r="B54" s="14" t="s">
        <v>404</v>
      </c>
      <c r="C54" s="14" t="s">
        <v>405</v>
      </c>
      <c r="D54" s="14" t="s">
        <v>406</v>
      </c>
      <c r="E54" s="14" t="s">
        <v>407</v>
      </c>
      <c r="F54" s="15" t="s">
        <v>500</v>
      </c>
      <c r="G54" s="14" t="s">
        <v>71</v>
      </c>
      <c r="H54" s="15" t="s">
        <v>496</v>
      </c>
    </row>
    <row r="55" customFormat="false" ht="15" hidden="false" customHeight="true" outlineLevel="0" collapsed="false">
      <c r="A55" s="14" t="s">
        <v>499</v>
      </c>
      <c r="B55" s="14" t="s">
        <v>501</v>
      </c>
      <c r="C55" s="14" t="s">
        <v>405</v>
      </c>
      <c r="D55" s="14" t="s">
        <v>406</v>
      </c>
      <c r="E55" s="14" t="s">
        <v>502</v>
      </c>
      <c r="F55" s="15" t="s">
        <v>503</v>
      </c>
      <c r="G55" s="14" t="s">
        <v>71</v>
      </c>
      <c r="H55" s="15" t="s">
        <v>496</v>
      </c>
    </row>
    <row r="56" customFormat="false" ht="24.75" hidden="false" customHeight="true" outlineLevel="0" collapsed="false">
      <c r="A56" s="14" t="s">
        <v>499</v>
      </c>
      <c r="B56" s="14" t="s">
        <v>470</v>
      </c>
      <c r="C56" s="14" t="s">
        <v>405</v>
      </c>
      <c r="D56" s="14" t="s">
        <v>406</v>
      </c>
      <c r="E56" s="14" t="s">
        <v>504</v>
      </c>
      <c r="F56" s="15" t="s">
        <v>505</v>
      </c>
      <c r="G56" s="14" t="s">
        <v>71</v>
      </c>
      <c r="H56" s="15" t="s">
        <v>496</v>
      </c>
    </row>
    <row r="57" customFormat="false" ht="15" hidden="false" customHeight="true" outlineLevel="0" collapsed="false">
      <c r="A57" s="14" t="s">
        <v>499</v>
      </c>
      <c r="B57" s="14" t="s">
        <v>506</v>
      </c>
      <c r="C57" s="14" t="s">
        <v>507</v>
      </c>
      <c r="D57" s="14" t="s">
        <v>406</v>
      </c>
      <c r="E57" s="14"/>
      <c r="F57" s="15" t="s">
        <v>508</v>
      </c>
      <c r="G57" s="14" t="s">
        <v>71</v>
      </c>
      <c r="H57" s="15" t="s">
        <v>496</v>
      </c>
    </row>
    <row r="58" customFormat="false" ht="15" hidden="false" customHeight="true" outlineLevel="0" collapsed="false">
      <c r="A58" s="14" t="s">
        <v>499</v>
      </c>
      <c r="B58" s="14" t="s">
        <v>432</v>
      </c>
      <c r="C58" s="14" t="s">
        <v>433</v>
      </c>
      <c r="D58" s="14" t="s">
        <v>399</v>
      </c>
      <c r="E58" s="14"/>
      <c r="F58" s="15" t="s">
        <v>498</v>
      </c>
      <c r="G58" s="14" t="s">
        <v>71</v>
      </c>
      <c r="H58" s="15" t="s">
        <v>496</v>
      </c>
    </row>
    <row r="59" customFormat="false" ht="15" hidden="false" customHeight="true" outlineLevel="0" collapsed="false">
      <c r="A59" s="14" t="s">
        <v>509</v>
      </c>
      <c r="B59" s="14" t="s">
        <v>404</v>
      </c>
      <c r="C59" s="14" t="s">
        <v>405</v>
      </c>
      <c r="D59" s="14" t="s">
        <v>406</v>
      </c>
      <c r="E59" s="14" t="s">
        <v>407</v>
      </c>
      <c r="F59" s="15" t="s">
        <v>510</v>
      </c>
      <c r="G59" s="14" t="s">
        <v>71</v>
      </c>
      <c r="H59" s="15" t="s">
        <v>496</v>
      </c>
    </row>
    <row r="60" customFormat="false" ht="15" hidden="false" customHeight="true" outlineLevel="0" collapsed="false">
      <c r="A60" s="14" t="s">
        <v>509</v>
      </c>
      <c r="B60" s="14" t="s">
        <v>490</v>
      </c>
      <c r="C60" s="14" t="s">
        <v>405</v>
      </c>
      <c r="D60" s="14" t="s">
        <v>406</v>
      </c>
      <c r="E60" s="14" t="s">
        <v>462</v>
      </c>
      <c r="F60" s="15" t="s">
        <v>511</v>
      </c>
      <c r="G60" s="14" t="s">
        <v>71</v>
      </c>
      <c r="H60" s="15" t="s">
        <v>496</v>
      </c>
    </row>
    <row r="61" customFormat="false" ht="15" hidden="false" customHeight="true" outlineLevel="0" collapsed="false">
      <c r="A61" s="14" t="s">
        <v>509</v>
      </c>
      <c r="B61" s="14" t="s">
        <v>512</v>
      </c>
      <c r="C61" s="14" t="s">
        <v>507</v>
      </c>
      <c r="D61" s="14" t="s">
        <v>406</v>
      </c>
      <c r="E61" s="14"/>
      <c r="F61" s="15" t="s">
        <v>513</v>
      </c>
      <c r="G61" s="14" t="s">
        <v>71</v>
      </c>
      <c r="H61" s="15" t="s">
        <v>496</v>
      </c>
    </row>
    <row r="62" customFormat="false" ht="15" hidden="false" customHeight="true" outlineLevel="0" collapsed="false">
      <c r="A62" s="14" t="s">
        <v>509</v>
      </c>
      <c r="B62" s="14" t="s">
        <v>514</v>
      </c>
      <c r="C62" s="14" t="s">
        <v>428</v>
      </c>
      <c r="D62" s="14" t="s">
        <v>406</v>
      </c>
      <c r="E62" s="14"/>
      <c r="F62" s="15" t="s">
        <v>515</v>
      </c>
      <c r="G62" s="14" t="s">
        <v>71</v>
      </c>
      <c r="H62" s="15" t="s">
        <v>496</v>
      </c>
    </row>
    <row r="63" customFormat="false" ht="15" hidden="false" customHeight="true" outlineLevel="0" collapsed="false">
      <c r="A63" s="14" t="s">
        <v>509</v>
      </c>
      <c r="B63" s="14" t="s">
        <v>432</v>
      </c>
      <c r="C63" s="14" t="s">
        <v>433</v>
      </c>
      <c r="D63" s="14" t="s">
        <v>399</v>
      </c>
      <c r="E63" s="14"/>
      <c r="F63" s="15" t="s">
        <v>498</v>
      </c>
      <c r="G63" s="14" t="s">
        <v>71</v>
      </c>
      <c r="H63" s="15" t="s">
        <v>496</v>
      </c>
    </row>
    <row r="64" customFormat="false" ht="15" hidden="false" customHeight="true" outlineLevel="0" collapsed="false">
      <c r="A64" s="14" t="s">
        <v>516</v>
      </c>
      <c r="B64" s="14" t="s">
        <v>404</v>
      </c>
      <c r="C64" s="14" t="s">
        <v>405</v>
      </c>
      <c r="D64" s="14" t="s">
        <v>406</v>
      </c>
      <c r="E64" s="14" t="s">
        <v>407</v>
      </c>
      <c r="F64" s="15" t="s">
        <v>517</v>
      </c>
      <c r="G64" s="14" t="s">
        <v>71</v>
      </c>
      <c r="H64" s="15" t="s">
        <v>496</v>
      </c>
    </row>
    <row r="65" customFormat="false" ht="15" hidden="false" customHeight="true" outlineLevel="0" collapsed="false">
      <c r="A65" s="14" t="s">
        <v>516</v>
      </c>
      <c r="B65" s="14" t="s">
        <v>518</v>
      </c>
      <c r="C65" s="14" t="s">
        <v>405</v>
      </c>
      <c r="D65" s="14" t="s">
        <v>406</v>
      </c>
      <c r="E65" s="14" t="s">
        <v>519</v>
      </c>
      <c r="F65" s="15" t="s">
        <v>520</v>
      </c>
      <c r="G65" s="14" t="s">
        <v>71</v>
      </c>
      <c r="H65" s="15" t="s">
        <v>496</v>
      </c>
    </row>
    <row r="66" customFormat="false" ht="15" hidden="false" customHeight="true" outlineLevel="0" collapsed="false">
      <c r="A66" s="14" t="s">
        <v>516</v>
      </c>
      <c r="B66" s="14" t="s">
        <v>470</v>
      </c>
      <c r="C66" s="14" t="s">
        <v>405</v>
      </c>
      <c r="D66" s="14" t="s">
        <v>406</v>
      </c>
      <c r="E66" s="14" t="s">
        <v>471</v>
      </c>
      <c r="F66" s="15" t="s">
        <v>521</v>
      </c>
      <c r="G66" s="14" t="s">
        <v>71</v>
      </c>
      <c r="H66" s="15" t="s">
        <v>496</v>
      </c>
    </row>
    <row r="67" customFormat="false" ht="15" hidden="false" customHeight="true" outlineLevel="0" collapsed="false">
      <c r="A67" s="14" t="s">
        <v>516</v>
      </c>
      <c r="B67" s="14" t="s">
        <v>506</v>
      </c>
      <c r="C67" s="14" t="s">
        <v>507</v>
      </c>
      <c r="D67" s="14" t="s">
        <v>406</v>
      </c>
      <c r="E67" s="14"/>
      <c r="F67" s="15" t="s">
        <v>508</v>
      </c>
      <c r="G67" s="14" t="s">
        <v>71</v>
      </c>
      <c r="H67" s="15" t="s">
        <v>496</v>
      </c>
    </row>
    <row r="68" customFormat="false" ht="29.25" hidden="false" customHeight="true" outlineLevel="0" collapsed="false">
      <c r="A68" s="14" t="s">
        <v>516</v>
      </c>
      <c r="B68" s="14" t="s">
        <v>522</v>
      </c>
      <c r="C68" s="14" t="s">
        <v>507</v>
      </c>
      <c r="D68" s="14" t="s">
        <v>406</v>
      </c>
      <c r="E68" s="14"/>
      <c r="F68" s="15" t="s">
        <v>523</v>
      </c>
      <c r="G68" s="14" t="s">
        <v>71</v>
      </c>
      <c r="H68" s="15" t="s">
        <v>496</v>
      </c>
    </row>
    <row r="69" customFormat="false" ht="15" hidden="false" customHeight="true" outlineLevel="0" collapsed="false">
      <c r="A69" s="14" t="s">
        <v>516</v>
      </c>
      <c r="B69" s="14" t="s">
        <v>432</v>
      </c>
      <c r="C69" s="14" t="s">
        <v>433</v>
      </c>
      <c r="D69" s="14" t="s">
        <v>399</v>
      </c>
      <c r="E69" s="14"/>
      <c r="F69" s="15" t="s">
        <v>498</v>
      </c>
      <c r="G69" s="14" t="s">
        <v>71</v>
      </c>
      <c r="H69" s="15" t="s">
        <v>496</v>
      </c>
    </row>
  </sheetData>
  <autoFilter ref="A4:G48"/>
  <conditionalFormatting sqref="H5:H69">
    <cfRule type="cellIs" priority="2" operator="equal" aboveAverage="0" equalAverage="0" bottom="0" percent="0" rank="0" text="" dxfId="7">
      <formula>"作成済み"</formula>
    </cfRule>
  </conditionalFormatting>
  <dataValidations count="1">
    <dataValidation allowBlank="true" errorStyle="stop" operator="between" showDropDown="false" showErrorMessage="false" showInputMessage="false" sqref="H5:H69" type="list">
      <formula1>"作成済み,未作成"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4"/>
    <col collapsed="false" customWidth="true" hidden="false" outlineLevel="0" max="5" min="4" style="1" width="52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2"/>
  </cols>
  <sheetData>
    <row r="1" customFormat="false" ht="18" hidden="false" customHeight="true" outlineLevel="0" collapsed="false">
      <c r="A1" s="2" t="s">
        <v>524</v>
      </c>
    </row>
    <row r="2" customFormat="false" ht="15" hidden="false" customHeight="true" outlineLevel="0" collapsed="false">
      <c r="A2" s="3" t="s">
        <v>525</v>
      </c>
    </row>
    <row r="4" customFormat="false" ht="15" hidden="false" customHeight="true" outlineLevel="0" collapsed="false">
      <c r="A4" s="19" t="s">
        <v>239</v>
      </c>
      <c r="B4" s="13" t="s">
        <v>240</v>
      </c>
      <c r="C4" s="13" t="s">
        <v>526</v>
      </c>
      <c r="D4" s="13" t="s">
        <v>527</v>
      </c>
      <c r="E4" s="13" t="s">
        <v>528</v>
      </c>
      <c r="F4" s="13" t="s">
        <v>314</v>
      </c>
      <c r="G4" s="13" t="s">
        <v>63</v>
      </c>
      <c r="H4" s="13" t="s">
        <v>529</v>
      </c>
    </row>
    <row r="5" customFormat="false" ht="54" hidden="false" customHeight="true" outlineLevel="0" collapsed="false">
      <c r="A5" s="14" t="s">
        <v>530</v>
      </c>
      <c r="B5" s="15" t="s">
        <v>531</v>
      </c>
      <c r="C5" s="15" t="s">
        <v>532</v>
      </c>
      <c r="D5" s="14" t="s">
        <v>533</v>
      </c>
      <c r="E5" s="17" t="s">
        <v>534</v>
      </c>
      <c r="F5" s="14" t="s">
        <v>535</v>
      </c>
      <c r="G5" s="16" t="s">
        <v>536</v>
      </c>
      <c r="H5" s="20" t="n">
        <v>46311</v>
      </c>
    </row>
    <row r="6" customFormat="false" ht="18" hidden="false" customHeight="true" outlineLevel="0" collapsed="false">
      <c r="A6" s="14" t="s">
        <v>537</v>
      </c>
      <c r="B6" s="15" t="s">
        <v>531</v>
      </c>
      <c r="C6" s="15" t="s">
        <v>538</v>
      </c>
      <c r="D6" s="14" t="s">
        <v>539</v>
      </c>
      <c r="E6" s="17" t="s">
        <v>540</v>
      </c>
      <c r="F6" s="14" t="s">
        <v>541</v>
      </c>
      <c r="G6" s="16" t="s">
        <v>542</v>
      </c>
      <c r="H6" s="20"/>
    </row>
    <row r="7" customFormat="false" ht="31.5" hidden="false" customHeight="true" outlineLevel="0" collapsed="false">
      <c r="A7" s="14" t="s">
        <v>543</v>
      </c>
      <c r="B7" s="15" t="s">
        <v>531</v>
      </c>
      <c r="C7" s="15" t="s">
        <v>544</v>
      </c>
      <c r="D7" s="14" t="s">
        <v>545</v>
      </c>
      <c r="E7" s="16" t="s">
        <v>546</v>
      </c>
      <c r="F7" s="14" t="s">
        <v>547</v>
      </c>
      <c r="G7" s="16" t="s">
        <v>548</v>
      </c>
      <c r="H7" s="20"/>
    </row>
    <row r="8" customFormat="false" ht="18" hidden="false" customHeight="true" outlineLevel="0" collapsed="false">
      <c r="A8" s="14" t="s">
        <v>549</v>
      </c>
      <c r="B8" s="15" t="s">
        <v>531</v>
      </c>
      <c r="C8" s="15" t="s">
        <v>550</v>
      </c>
      <c r="D8" s="14" t="s">
        <v>551</v>
      </c>
      <c r="E8" s="17" t="s">
        <v>552</v>
      </c>
      <c r="F8" s="14" t="s">
        <v>553</v>
      </c>
      <c r="G8" s="16" t="s">
        <v>536</v>
      </c>
      <c r="H8" s="20" t="n">
        <v>46321</v>
      </c>
    </row>
    <row r="9" customFormat="false" ht="31.5" hidden="false" customHeight="true" outlineLevel="0" collapsed="false">
      <c r="A9" s="14" t="s">
        <v>554</v>
      </c>
      <c r="B9" s="15" t="s">
        <v>555</v>
      </c>
      <c r="C9" s="15" t="s">
        <v>556</v>
      </c>
      <c r="D9" s="14" t="s">
        <v>557</v>
      </c>
      <c r="E9" s="16" t="s">
        <v>558</v>
      </c>
      <c r="F9" s="14" t="s">
        <v>559</v>
      </c>
      <c r="G9" s="16" t="s">
        <v>548</v>
      </c>
      <c r="H9" s="20"/>
    </row>
    <row r="10" customFormat="false" ht="36" hidden="false" customHeight="true" outlineLevel="0" collapsed="false">
      <c r="A10" s="14" t="s">
        <v>560</v>
      </c>
      <c r="B10" s="15" t="s">
        <v>555</v>
      </c>
      <c r="C10" s="15" t="s">
        <v>561</v>
      </c>
      <c r="D10" s="14" t="s">
        <v>562</v>
      </c>
      <c r="E10" s="16" t="s">
        <v>563</v>
      </c>
      <c r="F10" s="14" t="s">
        <v>564</v>
      </c>
      <c r="G10" s="16" t="s">
        <v>548</v>
      </c>
      <c r="H10" s="20"/>
    </row>
    <row r="11" customFormat="false" ht="18" hidden="false" customHeight="true" outlineLevel="0" collapsed="false">
      <c r="A11" s="14" t="s">
        <v>565</v>
      </c>
      <c r="B11" s="15" t="s">
        <v>555</v>
      </c>
      <c r="C11" s="15" t="s">
        <v>566</v>
      </c>
      <c r="D11" s="14" t="s">
        <v>567</v>
      </c>
      <c r="E11" s="16" t="s">
        <v>568</v>
      </c>
      <c r="F11" s="14" t="s">
        <v>172</v>
      </c>
      <c r="G11" s="16" t="s">
        <v>548</v>
      </c>
      <c r="H11" s="20"/>
    </row>
    <row r="12" customFormat="false" ht="49.5" hidden="false" customHeight="true" outlineLevel="0" collapsed="false">
      <c r="A12" s="14" t="s">
        <v>569</v>
      </c>
      <c r="B12" s="15" t="s">
        <v>272</v>
      </c>
      <c r="C12" s="15" t="s">
        <v>570</v>
      </c>
      <c r="D12" s="15" t="s">
        <v>571</v>
      </c>
      <c r="E12" s="17" t="s">
        <v>572</v>
      </c>
      <c r="F12" s="14" t="s">
        <v>573</v>
      </c>
      <c r="G12" s="16" t="s">
        <v>548</v>
      </c>
      <c r="H12" s="20"/>
    </row>
    <row r="13" customFormat="false" ht="45.75" hidden="false" customHeight="true" outlineLevel="0" collapsed="false">
      <c r="A13" s="14" t="s">
        <v>574</v>
      </c>
      <c r="B13" s="15" t="s">
        <v>555</v>
      </c>
      <c r="C13" s="14" t="s">
        <v>575</v>
      </c>
      <c r="D13" s="14" t="s">
        <v>576</v>
      </c>
      <c r="E13" s="17" t="s">
        <v>577</v>
      </c>
      <c r="F13" s="14" t="s">
        <v>136</v>
      </c>
      <c r="G13" s="16" t="s">
        <v>542</v>
      </c>
      <c r="H13" s="20"/>
    </row>
    <row r="14" customFormat="false" ht="31.5" hidden="false" customHeight="true" outlineLevel="0" collapsed="false">
      <c r="A14" s="14" t="s">
        <v>578</v>
      </c>
      <c r="B14" s="15" t="s">
        <v>531</v>
      </c>
      <c r="C14" s="14" t="s">
        <v>579</v>
      </c>
      <c r="D14" s="14" t="s">
        <v>580</v>
      </c>
      <c r="E14" s="17" t="s">
        <v>581</v>
      </c>
      <c r="F14" s="14" t="s">
        <v>176</v>
      </c>
      <c r="G14" s="16" t="s">
        <v>542</v>
      </c>
      <c r="H14" s="20"/>
    </row>
    <row r="15" customFormat="false" ht="36" hidden="false" customHeight="true" outlineLevel="0" collapsed="false">
      <c r="A15" s="14" t="s">
        <v>582</v>
      </c>
      <c r="B15" s="15" t="s">
        <v>531</v>
      </c>
      <c r="C15" s="15" t="s">
        <v>583</v>
      </c>
      <c r="D15" s="15" t="s">
        <v>584</v>
      </c>
      <c r="E15" s="16" t="s">
        <v>585</v>
      </c>
      <c r="F15" s="14" t="s">
        <v>227</v>
      </c>
      <c r="G15" s="16" t="s">
        <v>536</v>
      </c>
      <c r="H15" s="20" t="n">
        <v>46312</v>
      </c>
    </row>
    <row r="16" customFormat="false" ht="36" hidden="false" customHeight="true" outlineLevel="0" collapsed="false">
      <c r="A16" s="14" t="s">
        <v>586</v>
      </c>
      <c r="B16" s="15" t="s">
        <v>531</v>
      </c>
      <c r="C16" s="15" t="s">
        <v>587</v>
      </c>
      <c r="D16" s="15" t="s">
        <v>588</v>
      </c>
      <c r="E16" s="17" t="s">
        <v>589</v>
      </c>
      <c r="F16" s="14" t="s">
        <v>590</v>
      </c>
      <c r="G16" s="16" t="s">
        <v>548</v>
      </c>
      <c r="H16" s="20"/>
    </row>
  </sheetData>
  <autoFilter ref="A4:H16"/>
  <conditionalFormatting sqref="G5:G16">
    <cfRule type="cellIs" priority="2" operator="equal" aboveAverage="0" equalAverage="0" bottom="0" percent="0" rank="0" text="" dxfId="7">
      <formula>"決定"</formula>
    </cfRule>
    <cfRule type="cellIs" priority="3" operator="equal" aboveAverage="0" equalAverage="0" bottom="0" percent="0" rank="0" text="" dxfId="10">
      <formula>"未決"</formula>
    </cfRule>
  </conditionalFormatting>
  <dataValidations count="1">
    <dataValidation allowBlank="true" errorStyle="stop" operator="between" showDropDown="false" showErrorMessage="false" showInputMessage="false" sqref="G5:G16" type="list">
      <formula1>"未決,仮決定,決定"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0" activeCellId="0" sqref="M1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46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10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3" min="12" style="1" width="12"/>
    <col collapsed="false" customWidth="true" hidden="false" outlineLevel="0" max="14" min="14" style="1" width="9"/>
  </cols>
  <sheetData>
    <row r="1" customFormat="false" ht="21.75" hidden="false" customHeight="true" outlineLevel="0" collapsed="false">
      <c r="A1" s="2" t="s">
        <v>591</v>
      </c>
    </row>
    <row r="2" customFormat="false" ht="15" hidden="false" customHeight="true" outlineLevel="0" collapsed="false">
      <c r="A2" s="3" t="s">
        <v>592</v>
      </c>
    </row>
    <row r="4" customFormat="false" ht="29.25" hidden="false" customHeight="true" outlineLevel="0" collapsed="false">
      <c r="A4" s="19" t="s">
        <v>593</v>
      </c>
      <c r="B4" s="13" t="s">
        <v>58</v>
      </c>
      <c r="C4" s="13" t="s">
        <v>60</v>
      </c>
      <c r="D4" s="13" t="s">
        <v>594</v>
      </c>
      <c r="E4" s="13" t="s">
        <v>595</v>
      </c>
      <c r="F4" s="13" t="s">
        <v>62</v>
      </c>
      <c r="G4" s="13" t="s">
        <v>596</v>
      </c>
      <c r="H4" s="13" t="s">
        <v>597</v>
      </c>
      <c r="I4" s="13" t="s">
        <v>598</v>
      </c>
      <c r="J4" s="13" t="s">
        <v>599</v>
      </c>
      <c r="K4" s="13" t="s">
        <v>600</v>
      </c>
      <c r="L4" s="13" t="s">
        <v>601</v>
      </c>
      <c r="M4" s="13" t="s">
        <v>602</v>
      </c>
      <c r="N4" s="13" t="s">
        <v>63</v>
      </c>
    </row>
    <row r="5" customFormat="false" ht="31.5" hidden="false" customHeight="true" outlineLevel="0" collapsed="false">
      <c r="A5" s="15" t="n">
        <v>1</v>
      </c>
      <c r="B5" s="15" t="s">
        <v>603</v>
      </c>
      <c r="C5" s="14" t="s">
        <v>172</v>
      </c>
      <c r="D5" s="15" t="s">
        <v>604</v>
      </c>
      <c r="E5" s="14" t="s">
        <v>172</v>
      </c>
      <c r="F5" s="14" t="s">
        <v>605</v>
      </c>
      <c r="G5" s="15" t="s">
        <v>606</v>
      </c>
      <c r="H5" s="16" t="n">
        <v>0</v>
      </c>
      <c r="I5" s="21" t="n">
        <v>4</v>
      </c>
      <c r="J5" s="22" t="n">
        <f aca="false">IF(N5="完了",0,(H5*稼働カレンダー!$B$8+I5)*(1+稼働カレンダー!$B$7))</f>
        <v>0</v>
      </c>
      <c r="K5" s="22" t="n">
        <f aca="false">ROUND(SUM($J$5:J5),6)</f>
        <v>0</v>
      </c>
      <c r="L5" s="23" t="str">
        <f aca="false">IF(N5="完了","完了",IFERROR(INDEX(稼働カレンダー!$A$16:$A$215,COUNTIF(稼働カレンダー!$G$16:$G$215,"&lt;="&amp;ROUND(K5-J5,6))+1),"範囲外"))</f>
        <v>完了</v>
      </c>
      <c r="M5" s="23" t="str">
        <f aca="false">IF(N5="完了","完了",IFERROR(INDEX(稼働カレンダー!$A$16:$A$215,COUNTIF(稼働カレンダー!$G$16:$G$215,"&lt;"&amp;K5)+1),"範囲外"))</f>
        <v>完了</v>
      </c>
      <c r="N5" s="16" t="s">
        <v>607</v>
      </c>
    </row>
    <row r="6" customFormat="false" ht="18" hidden="false" customHeight="true" outlineLevel="0" collapsed="false">
      <c r="A6" s="15" t="n">
        <v>2</v>
      </c>
      <c r="B6" s="15" t="s">
        <v>608</v>
      </c>
      <c r="C6" s="14" t="s">
        <v>609</v>
      </c>
      <c r="D6" s="15" t="s">
        <v>610</v>
      </c>
      <c r="E6" s="14" t="s">
        <v>172</v>
      </c>
      <c r="F6" s="14" t="s">
        <v>172</v>
      </c>
      <c r="G6" s="15" t="s">
        <v>611</v>
      </c>
      <c r="H6" s="16" t="n">
        <v>0</v>
      </c>
      <c r="I6" s="21" t="n">
        <v>3</v>
      </c>
      <c r="J6" s="22" t="n">
        <f aca="false">IF(N6="完了",0,(H6*稼働カレンダー!$B$8+I6)*(1+稼働カレンダー!$B$7))</f>
        <v>0</v>
      </c>
      <c r="K6" s="22" t="n">
        <f aca="false">ROUND(SUM($J$5:J6),6)</f>
        <v>0</v>
      </c>
      <c r="L6" s="23" t="str">
        <f aca="false">IF(N6="完了","完了",IFERROR(INDEX(稼働カレンダー!$A$16:$A$215,COUNTIF(稼働カレンダー!$G$16:$G$215,"&lt;="&amp;ROUND(K6-J6,6))+1),"範囲外"))</f>
        <v>完了</v>
      </c>
      <c r="M6" s="23" t="str">
        <f aca="false">IF(N6="完了","完了",IFERROR(INDEX(稼働カレンダー!$A$16:$A$215,COUNTIF(稼働カレンダー!$G$16:$G$215,"&lt;"&amp;K6)+1),"範囲外"))</f>
        <v>完了</v>
      </c>
      <c r="N6" s="16" t="s">
        <v>607</v>
      </c>
    </row>
    <row r="7" customFormat="false" ht="31.5" hidden="false" customHeight="true" outlineLevel="0" collapsed="false">
      <c r="A7" s="15" t="n">
        <v>3</v>
      </c>
      <c r="B7" s="15" t="s">
        <v>612</v>
      </c>
      <c r="C7" s="14" t="s">
        <v>613</v>
      </c>
      <c r="D7" s="15" t="s">
        <v>614</v>
      </c>
      <c r="E7" s="14" t="s">
        <v>172</v>
      </c>
      <c r="F7" s="14" t="s">
        <v>172</v>
      </c>
      <c r="G7" s="15" t="s">
        <v>307</v>
      </c>
      <c r="H7" s="16" t="n">
        <v>0</v>
      </c>
      <c r="I7" s="21" t="n">
        <v>1</v>
      </c>
      <c r="J7" s="22" t="n">
        <f aca="false">IF(N7="完了",0,(H7*稼働カレンダー!$B$8+I7)*(1+稼働カレンダー!$B$7))</f>
        <v>0</v>
      </c>
      <c r="K7" s="22" t="n">
        <f aca="false">ROUND(SUM($J$5:J7),6)</f>
        <v>0</v>
      </c>
      <c r="L7" s="23" t="str">
        <f aca="false">IF(N7="完了","完了",IFERROR(INDEX(稼働カレンダー!$A$16:$A$215,COUNTIF(稼働カレンダー!$G$16:$G$215,"&lt;="&amp;ROUND(K7-J7,6))+1),"範囲外"))</f>
        <v>完了</v>
      </c>
      <c r="M7" s="23" t="str">
        <f aca="false">IF(N7="完了","完了",IFERROR(INDEX(稼働カレンダー!$A$16:$A$215,COUNTIF(稼働カレンダー!$G$16:$G$215,"&lt;"&amp;K7)+1),"範囲外"))</f>
        <v>完了</v>
      </c>
      <c r="N7" s="16" t="s">
        <v>607</v>
      </c>
    </row>
    <row r="8" customFormat="false" ht="36" hidden="false" customHeight="true" outlineLevel="0" collapsed="false">
      <c r="A8" s="15" t="n">
        <v>4</v>
      </c>
      <c r="B8" s="15" t="s">
        <v>612</v>
      </c>
      <c r="C8" s="14" t="s">
        <v>615</v>
      </c>
      <c r="D8" s="15" t="s">
        <v>616</v>
      </c>
      <c r="E8" s="14" t="s">
        <v>172</v>
      </c>
      <c r="F8" s="14" t="s">
        <v>172</v>
      </c>
      <c r="G8" s="15" t="s">
        <v>394</v>
      </c>
      <c r="H8" s="16" t="n">
        <v>0</v>
      </c>
      <c r="I8" s="21" t="n">
        <v>2</v>
      </c>
      <c r="J8" s="22" t="n">
        <f aca="false">IF(N8="完了",0,(H8*稼働カレンダー!$B$8+I8)*(1+稼働カレンダー!$B$7))</f>
        <v>0</v>
      </c>
      <c r="K8" s="22" t="n">
        <f aca="false">ROUND(SUM($J$5:J8),6)</f>
        <v>0</v>
      </c>
      <c r="L8" s="23" t="str">
        <f aca="false">IF(N8="完了","完了",IFERROR(INDEX(稼働カレンダー!$A$16:$A$215,COUNTIF(稼働カレンダー!$G$16:$G$215,"&lt;="&amp;ROUND(K8-J8,6))+1),"範囲外"))</f>
        <v>完了</v>
      </c>
      <c r="M8" s="23" t="str">
        <f aca="false">IF(N8="完了","完了",IFERROR(INDEX(稼働カレンダー!$A$16:$A$215,COUNTIF(稼働カレンダー!$G$16:$G$215,"&lt;"&amp;K8)+1),"範囲外"))</f>
        <v>完了</v>
      </c>
      <c r="N8" s="16" t="s">
        <v>607</v>
      </c>
    </row>
    <row r="9" customFormat="false" ht="18" hidden="false" customHeight="true" outlineLevel="0" collapsed="false">
      <c r="A9" s="15" t="n">
        <v>5</v>
      </c>
      <c r="B9" s="15" t="s">
        <v>612</v>
      </c>
      <c r="C9" s="14" t="s">
        <v>617</v>
      </c>
      <c r="D9" s="14" t="s">
        <v>618</v>
      </c>
      <c r="E9" s="14" t="s">
        <v>172</v>
      </c>
      <c r="F9" s="14" t="s">
        <v>619</v>
      </c>
      <c r="G9" s="15" t="s">
        <v>620</v>
      </c>
      <c r="H9" s="16" t="n">
        <v>1</v>
      </c>
      <c r="I9" s="21" t="n">
        <v>2</v>
      </c>
      <c r="J9" s="22" t="n">
        <f aca="false">IF(N9="完了",0,(H9*稼働カレンダー!$B$8+I9)*(1+稼働カレンダー!$B$7))</f>
        <v>0</v>
      </c>
      <c r="K9" s="22" t="n">
        <f aca="false">ROUND(SUM($J$5:J9),6)</f>
        <v>0</v>
      </c>
      <c r="L9" s="23" t="str">
        <f aca="false">IF(N9="完了","完了",IFERROR(INDEX(稼働カレンダー!$A$16:$A$215,COUNTIF(稼働カレンダー!$G$16:$G$215,"&lt;="&amp;ROUND(K9-J9,6))+1),"範囲外"))</f>
        <v>完了</v>
      </c>
      <c r="M9" s="23" t="str">
        <f aca="false">IF(N9="完了","完了",IFERROR(INDEX(稼働カレンダー!$A$16:$A$215,COUNTIF(稼働カレンダー!$G$16:$G$215,"&lt;"&amp;K9)+1),"範囲外"))</f>
        <v>完了</v>
      </c>
      <c r="N9" s="16" t="s">
        <v>607</v>
      </c>
    </row>
    <row r="10" customFormat="false" ht="18" hidden="false" customHeight="true" outlineLevel="0" collapsed="false">
      <c r="A10" s="15" t="n">
        <v>6</v>
      </c>
      <c r="B10" s="15" t="s">
        <v>621</v>
      </c>
      <c r="C10" s="14" t="s">
        <v>622</v>
      </c>
      <c r="D10" s="15" t="s">
        <v>623</v>
      </c>
      <c r="E10" s="14" t="s">
        <v>172</v>
      </c>
      <c r="F10" s="14" t="s">
        <v>624</v>
      </c>
      <c r="G10" s="15" t="s">
        <v>625</v>
      </c>
      <c r="H10" s="16" t="n">
        <v>2</v>
      </c>
      <c r="I10" s="21" t="n">
        <v>6</v>
      </c>
      <c r="J10" s="22" t="n">
        <f aca="false">IF(N10="完了",0,(H10*稼働カレンダー!$B$8+I10)*(1+稼働カレンダー!$B$7))</f>
        <v>8.4</v>
      </c>
      <c r="K10" s="22" t="n">
        <f aca="false">ROUND(SUM($J$5:J10),6)</f>
        <v>8.4</v>
      </c>
      <c r="L10" s="23" t="n">
        <f aca="false">IF(N10="完了","完了",IFERROR(INDEX(稼働カレンダー!$A$16:$A$215,COUNTIF(稼働カレンダー!$G$16:$G$215,"&lt;="&amp;ROUND(K10-J10,6))+1),"範囲外"))</f>
        <v>46317</v>
      </c>
      <c r="M10" s="23" t="n">
        <f aca="false">IF(N10="完了","完了",IFERROR(INDEX(稼働カレンダー!$A$16:$A$215,COUNTIF(稼働カレンダー!$G$16:$G$215,"&lt;"&amp;K10)+1),"範囲外"))</f>
        <v>46319</v>
      </c>
      <c r="N10" s="16" t="s">
        <v>76</v>
      </c>
    </row>
    <row r="11" customFormat="false" ht="18" hidden="false" customHeight="true" outlineLevel="0" collapsed="false">
      <c r="A11" s="15" t="n">
        <v>7</v>
      </c>
      <c r="B11" s="15" t="s">
        <v>621</v>
      </c>
      <c r="C11" s="14" t="s">
        <v>626</v>
      </c>
      <c r="D11" s="15" t="s">
        <v>627</v>
      </c>
      <c r="E11" s="14" t="s">
        <v>628</v>
      </c>
      <c r="F11" s="14" t="s">
        <v>75</v>
      </c>
      <c r="G11" s="15" t="s">
        <v>629</v>
      </c>
      <c r="H11" s="16" t="n">
        <v>3</v>
      </c>
      <c r="I11" s="21" t="n">
        <v>3</v>
      </c>
      <c r="J11" s="22" t="n">
        <f aca="false">IF(N11="完了",0,(H11*稼働カレンダー!$B$8+I11)*(1+稼働カレンダー!$B$7))</f>
        <v>5.4</v>
      </c>
      <c r="K11" s="22" t="n">
        <f aca="false">ROUND(SUM($J$5:J11),6)</f>
        <v>13.8</v>
      </c>
      <c r="L11" s="23" t="n">
        <f aca="false">IF(N11="完了","完了",IFERROR(INDEX(稼働カレンダー!$A$16:$A$215,COUNTIF(稼働カレンダー!$G$16:$G$215,"&lt;="&amp;ROUND(K11-J11,6))+1),"範囲外"))</f>
        <v>46319</v>
      </c>
      <c r="M11" s="23" t="n">
        <f aca="false">IF(N11="完了","完了",IFERROR(INDEX(稼働カレンダー!$A$16:$A$215,COUNTIF(稼働カレンダー!$G$16:$G$215,"&lt;"&amp;K11)+1),"範囲外"))</f>
        <v>46319</v>
      </c>
      <c r="N11" s="16" t="s">
        <v>76</v>
      </c>
    </row>
    <row r="12" customFormat="false" ht="36" hidden="false" customHeight="true" outlineLevel="0" collapsed="false">
      <c r="A12" s="15" t="n">
        <v>8</v>
      </c>
      <c r="B12" s="15" t="s">
        <v>621</v>
      </c>
      <c r="C12" s="14" t="s">
        <v>630</v>
      </c>
      <c r="D12" s="15" t="s">
        <v>631</v>
      </c>
      <c r="E12" s="14" t="s">
        <v>632</v>
      </c>
      <c r="F12" s="14" t="s">
        <v>633</v>
      </c>
      <c r="G12" s="15" t="s">
        <v>634</v>
      </c>
      <c r="H12" s="16" t="n">
        <v>3</v>
      </c>
      <c r="I12" s="21" t="n">
        <v>4</v>
      </c>
      <c r="J12" s="22" t="n">
        <f aca="false">IF(N12="完了",0,(H12*稼働カレンダー!$B$8+I12)*(1+稼働カレンダー!$B$7))</f>
        <v>6.6</v>
      </c>
      <c r="K12" s="22" t="n">
        <f aca="false">ROUND(SUM($J$5:J12),6)</f>
        <v>20.4</v>
      </c>
      <c r="L12" s="23" t="n">
        <f aca="false">IF(N12="完了","完了",IFERROR(INDEX(稼働カレンダー!$A$16:$A$215,COUNTIF(稼働カレンダー!$G$16:$G$215,"&lt;="&amp;ROUND(K12-J12,6))+1),"範囲外"))</f>
        <v>46319</v>
      </c>
      <c r="M12" s="23" t="n">
        <f aca="false">IF(N12="完了","完了",IFERROR(INDEX(稼働カレンダー!$A$16:$A$215,COUNTIF(稼働カレンダー!$G$16:$G$215,"&lt;"&amp;K12)+1),"範囲外"))</f>
        <v>46320</v>
      </c>
      <c r="N12" s="16" t="s">
        <v>76</v>
      </c>
    </row>
    <row r="13" customFormat="false" ht="18" hidden="false" customHeight="true" outlineLevel="0" collapsed="false">
      <c r="A13" s="15" t="n">
        <v>9</v>
      </c>
      <c r="B13" s="15" t="s">
        <v>621</v>
      </c>
      <c r="C13" s="14" t="s">
        <v>635</v>
      </c>
      <c r="D13" s="15" t="s">
        <v>636</v>
      </c>
      <c r="E13" s="14" t="s">
        <v>637</v>
      </c>
      <c r="F13" s="14" t="s">
        <v>112</v>
      </c>
      <c r="G13" s="15" t="s">
        <v>638</v>
      </c>
      <c r="H13" s="16" t="n">
        <v>2</v>
      </c>
      <c r="I13" s="21" t="n">
        <v>3</v>
      </c>
      <c r="J13" s="22" t="n">
        <f aca="false">IF(N13="完了",0,(H13*稼働カレンダー!$B$8+I13)*(1+稼働カレンダー!$B$7))</f>
        <v>4.8</v>
      </c>
      <c r="K13" s="22" t="n">
        <f aca="false">ROUND(SUM($J$5:J13),6)</f>
        <v>25.2</v>
      </c>
      <c r="L13" s="23" t="n">
        <f aca="false">IF(N13="完了","完了",IFERROR(INDEX(稼働カレンダー!$A$16:$A$215,COUNTIF(稼働カレンダー!$G$16:$G$215,"&lt;="&amp;ROUND(K13-J13,6))+1),"範囲外"))</f>
        <v>46320</v>
      </c>
      <c r="M13" s="23" t="n">
        <f aca="false">IF(N13="完了","完了",IFERROR(INDEX(稼働カレンダー!$A$16:$A$215,COUNTIF(稼働カレンダー!$G$16:$G$215,"&lt;"&amp;K13)+1),"範囲外"))</f>
        <v>46321</v>
      </c>
      <c r="N13" s="16" t="s">
        <v>76</v>
      </c>
    </row>
    <row r="14" customFormat="false" ht="36" hidden="false" customHeight="true" outlineLevel="0" collapsed="false">
      <c r="A14" s="15" t="n">
        <v>10</v>
      </c>
      <c r="B14" s="15" t="s">
        <v>621</v>
      </c>
      <c r="C14" s="14" t="s">
        <v>199</v>
      </c>
      <c r="D14" s="15" t="s">
        <v>639</v>
      </c>
      <c r="E14" s="14" t="s">
        <v>640</v>
      </c>
      <c r="F14" s="14" t="s">
        <v>201</v>
      </c>
      <c r="G14" s="15" t="s">
        <v>641</v>
      </c>
      <c r="H14" s="16" t="n">
        <v>3</v>
      </c>
      <c r="I14" s="21" t="n">
        <v>4</v>
      </c>
      <c r="J14" s="22" t="n">
        <f aca="false">IF(N14="完了",0,(H14*稼働カレンダー!$B$8+I14)*(1+稼働カレンダー!$B$7))</f>
        <v>6.6</v>
      </c>
      <c r="K14" s="22" t="n">
        <f aca="false">ROUND(SUM($J$5:J14),6)</f>
        <v>31.8</v>
      </c>
      <c r="L14" s="23" t="n">
        <f aca="false">IF(N14="完了","完了",IFERROR(INDEX(稼働カレンダー!$A$16:$A$215,COUNTIF(稼働カレンダー!$G$16:$G$215,"&lt;="&amp;ROUND(K14-J14,6))+1),"範囲外"))</f>
        <v>46321</v>
      </c>
      <c r="M14" s="23" t="n">
        <f aca="false">IF(N14="完了","完了",IFERROR(INDEX(稼働カレンダー!$A$16:$A$215,COUNTIF(稼働カレンダー!$G$16:$G$215,"&lt;"&amp;K14)+1),"範囲外"))</f>
        <v>46323</v>
      </c>
      <c r="N14" s="16" t="s">
        <v>76</v>
      </c>
    </row>
    <row r="15" customFormat="false" ht="18" hidden="false" customHeight="true" outlineLevel="0" collapsed="false">
      <c r="A15" s="15" t="n">
        <v>11</v>
      </c>
      <c r="B15" s="15" t="s">
        <v>621</v>
      </c>
      <c r="C15" s="14" t="s">
        <v>642</v>
      </c>
      <c r="D15" s="15" t="s">
        <v>643</v>
      </c>
      <c r="E15" s="14" t="s">
        <v>644</v>
      </c>
      <c r="F15" s="14" t="s">
        <v>144</v>
      </c>
      <c r="G15" s="15" t="s">
        <v>645</v>
      </c>
      <c r="H15" s="16" t="n">
        <v>2</v>
      </c>
      <c r="I15" s="21" t="n">
        <v>2</v>
      </c>
      <c r="J15" s="22" t="n">
        <f aca="false">IF(N15="完了",0,(H15*稼働カレンダー!$B$8+I15)*(1+稼働カレンダー!$B$7))</f>
        <v>3.6</v>
      </c>
      <c r="K15" s="22" t="n">
        <f aca="false">ROUND(SUM($J$5:J15),6)</f>
        <v>35.4</v>
      </c>
      <c r="L15" s="23" t="n">
        <f aca="false">IF(N15="完了","完了",IFERROR(INDEX(稼働カレンダー!$A$16:$A$215,COUNTIF(稼働カレンダー!$G$16:$G$215,"&lt;="&amp;ROUND(K15-J15,6))+1),"範囲外"))</f>
        <v>46323</v>
      </c>
      <c r="M15" s="23" t="n">
        <f aca="false">IF(N15="完了","完了",IFERROR(INDEX(稼働カレンダー!$A$16:$A$215,COUNTIF(稼働カレンダー!$G$16:$G$215,"&lt;"&amp;K15)+1),"範囲外"))</f>
        <v>46324</v>
      </c>
      <c r="N15" s="16" t="s">
        <v>76</v>
      </c>
    </row>
    <row r="16" customFormat="false" ht="18" hidden="false" customHeight="true" outlineLevel="0" collapsed="false">
      <c r="A16" s="15" t="n">
        <v>12</v>
      </c>
      <c r="B16" s="15" t="s">
        <v>621</v>
      </c>
      <c r="C16" s="14" t="s">
        <v>157</v>
      </c>
      <c r="D16" s="15" t="s">
        <v>154</v>
      </c>
      <c r="E16" s="14" t="s">
        <v>153</v>
      </c>
      <c r="F16" s="14" t="s">
        <v>159</v>
      </c>
      <c r="G16" s="15" t="s">
        <v>646</v>
      </c>
      <c r="H16" s="16" t="n">
        <v>1</v>
      </c>
      <c r="I16" s="21" t="n">
        <v>1</v>
      </c>
      <c r="J16" s="22" t="n">
        <f aca="false">IF(N16="完了",0,(H16*稼働カレンダー!$B$8+I16)*(1+稼働カレンダー!$B$7))</f>
        <v>1.8</v>
      </c>
      <c r="K16" s="22" t="n">
        <f aca="false">ROUND(SUM($J$5:J16),6)</f>
        <v>37.2</v>
      </c>
      <c r="L16" s="23" t="n">
        <f aca="false">IF(N16="完了","完了",IFERROR(INDEX(稼働カレンダー!$A$16:$A$215,COUNTIF(稼働カレンダー!$G$16:$G$215,"&lt;="&amp;ROUND(K16-J16,6))+1),"範囲外"))</f>
        <v>46324</v>
      </c>
      <c r="M16" s="23" t="n">
        <f aca="false">IF(N16="完了","完了",IFERROR(INDEX(稼働カレンダー!$A$16:$A$215,COUNTIF(稼働カレンダー!$G$16:$G$215,"&lt;"&amp;K16)+1),"範囲外"))</f>
        <v>46325</v>
      </c>
      <c r="N16" s="16" t="s">
        <v>76</v>
      </c>
    </row>
    <row r="17" customFormat="false" ht="18" hidden="false" customHeight="true" outlineLevel="0" collapsed="false">
      <c r="A17" s="15" t="n">
        <v>13</v>
      </c>
      <c r="B17" s="15" t="s">
        <v>621</v>
      </c>
      <c r="C17" s="14" t="s">
        <v>233</v>
      </c>
      <c r="D17" s="15" t="s">
        <v>647</v>
      </c>
      <c r="E17" s="14" t="s">
        <v>227</v>
      </c>
      <c r="F17" s="14" t="s">
        <v>235</v>
      </c>
      <c r="G17" s="15" t="s">
        <v>648</v>
      </c>
      <c r="H17" s="16" t="n">
        <v>1</v>
      </c>
      <c r="I17" s="21" t="n">
        <v>3</v>
      </c>
      <c r="J17" s="22" t="n">
        <f aca="false">IF(N17="完了",0,(H17*稼働カレンダー!$B$8+I17)*(1+稼働カレンダー!$B$7))</f>
        <v>4.2</v>
      </c>
      <c r="K17" s="22" t="n">
        <f aca="false">ROUND(SUM($J$5:J17),6)</f>
        <v>41.4</v>
      </c>
      <c r="L17" s="23" t="n">
        <f aca="false">IF(N17="完了","完了",IFERROR(INDEX(稼働カレンダー!$A$16:$A$215,COUNTIF(稼働カレンダー!$G$16:$G$215,"&lt;="&amp;ROUND(K17-J17,6))+1),"範囲外"))</f>
        <v>46325</v>
      </c>
      <c r="M17" s="23" t="n">
        <f aca="false">IF(N17="完了","完了",IFERROR(INDEX(稼働カレンダー!$A$16:$A$215,COUNTIF(稼働カレンダー!$G$16:$G$215,"&lt;"&amp;K17)+1),"範囲外"))</f>
        <v>46326</v>
      </c>
      <c r="N17" s="16" t="s">
        <v>76</v>
      </c>
    </row>
    <row r="18" customFormat="false" ht="18" hidden="false" customHeight="true" outlineLevel="0" collapsed="false">
      <c r="A18" s="15" t="n">
        <v>14</v>
      </c>
      <c r="B18" s="15" t="s">
        <v>621</v>
      </c>
      <c r="C18" s="14" t="s">
        <v>164</v>
      </c>
      <c r="D18" s="15" t="s">
        <v>649</v>
      </c>
      <c r="E18" s="14" t="s">
        <v>160</v>
      </c>
      <c r="F18" s="14" t="s">
        <v>166</v>
      </c>
      <c r="G18" s="15" t="s">
        <v>650</v>
      </c>
      <c r="H18" s="16" t="n">
        <v>1</v>
      </c>
      <c r="I18" s="21" t="n">
        <v>1</v>
      </c>
      <c r="J18" s="22" t="n">
        <f aca="false">IF(N18="完了",0,(H18*稼働カレンダー!$B$8+I18)*(1+稼働カレンダー!$B$7))</f>
        <v>1.8</v>
      </c>
      <c r="K18" s="22" t="n">
        <f aca="false">ROUND(SUM($J$5:J18),6)</f>
        <v>43.2</v>
      </c>
      <c r="L18" s="23" t="n">
        <f aca="false">IF(N18="完了","完了",IFERROR(INDEX(稼働カレンダー!$A$16:$A$215,COUNTIF(稼働カレンダー!$G$16:$G$215,"&lt;="&amp;ROUND(K18-J18,6))+1),"範囲外"))</f>
        <v>46326</v>
      </c>
      <c r="M18" s="23" t="n">
        <f aca="false">IF(N18="完了","完了",IFERROR(INDEX(稼働カレンダー!$A$16:$A$215,COUNTIF(稼働カレンダー!$G$16:$G$215,"&lt;"&amp;K18)+1),"範囲外"))</f>
        <v>46326</v>
      </c>
      <c r="N18" s="16" t="s">
        <v>76</v>
      </c>
    </row>
    <row r="19" customFormat="false" ht="18" hidden="false" customHeight="true" outlineLevel="0" collapsed="false">
      <c r="A19" s="15" t="n">
        <v>15</v>
      </c>
      <c r="B19" s="15" t="s">
        <v>621</v>
      </c>
      <c r="C19" s="14" t="s">
        <v>651</v>
      </c>
      <c r="D19" s="15" t="s">
        <v>652</v>
      </c>
      <c r="E19" s="14" t="s">
        <v>653</v>
      </c>
      <c r="F19" s="14" t="s">
        <v>654</v>
      </c>
      <c r="G19" s="15" t="s">
        <v>655</v>
      </c>
      <c r="H19" s="16" t="n">
        <v>1</v>
      </c>
      <c r="I19" s="21" t="n">
        <v>3</v>
      </c>
      <c r="J19" s="22" t="n">
        <f aca="false">IF(N19="完了",0,(H19*稼働カレンダー!$B$8+I19)*(1+稼働カレンダー!$B$7))</f>
        <v>4.2</v>
      </c>
      <c r="K19" s="22" t="n">
        <f aca="false">ROUND(SUM($J$5:J19),6)</f>
        <v>47.4</v>
      </c>
      <c r="L19" s="23" t="n">
        <f aca="false">IF(N19="完了","完了",IFERROR(INDEX(稼働カレンダー!$A$16:$A$215,COUNTIF(稼働カレンダー!$G$16:$G$215,"&lt;="&amp;ROUND(K19-J19,6))+1),"範囲外"))</f>
        <v>46326</v>
      </c>
      <c r="M19" s="23" t="n">
        <f aca="false">IF(N19="完了","完了",IFERROR(INDEX(稼働カレンダー!$A$16:$A$215,COUNTIF(稼働カレンダー!$G$16:$G$215,"&lt;"&amp;K19)+1),"範囲外"))</f>
        <v>46326</v>
      </c>
      <c r="N19" s="16" t="s">
        <v>76</v>
      </c>
    </row>
    <row r="20" customFormat="false" ht="18" hidden="false" customHeight="true" outlineLevel="0" collapsed="false">
      <c r="A20" s="15" t="n">
        <v>16</v>
      </c>
      <c r="B20" s="15" t="s">
        <v>621</v>
      </c>
      <c r="C20" s="14" t="s">
        <v>171</v>
      </c>
      <c r="D20" s="15" t="s">
        <v>169</v>
      </c>
      <c r="E20" s="14" t="s">
        <v>167</v>
      </c>
      <c r="F20" s="14" t="s">
        <v>174</v>
      </c>
      <c r="G20" s="15" t="s">
        <v>656</v>
      </c>
      <c r="H20" s="16" t="n">
        <v>0</v>
      </c>
      <c r="I20" s="21" t="n">
        <v>10</v>
      </c>
      <c r="J20" s="22" t="n">
        <f aca="false">IF(N20="完了",0,(H20*稼働カレンダー!$B$8+I20)*(1+稼働カレンダー!$B$7))</f>
        <v>12</v>
      </c>
      <c r="K20" s="22" t="n">
        <f aca="false">ROUND(SUM($J$5:J20),6)</f>
        <v>59.4</v>
      </c>
      <c r="L20" s="23" t="n">
        <f aca="false">IF(N20="完了","完了",IFERROR(INDEX(稼働カレンダー!$A$16:$A$215,COUNTIF(稼働カレンダー!$G$16:$G$215,"&lt;="&amp;ROUND(K20-J20,6))+1),"範囲外"))</f>
        <v>46326</v>
      </c>
      <c r="M20" s="23" t="n">
        <f aca="false">IF(N20="完了","完了",IFERROR(INDEX(稼働カレンダー!$A$16:$A$215,COUNTIF(稼働カレンダー!$G$16:$G$215,"&lt;"&amp;K20)+1),"範囲外"))</f>
        <v>46328</v>
      </c>
      <c r="N20" s="16" t="s">
        <v>76</v>
      </c>
    </row>
    <row r="21" customFormat="false" ht="18" hidden="false" customHeight="true" outlineLevel="0" collapsed="false">
      <c r="A21" s="15" t="n">
        <v>17</v>
      </c>
      <c r="B21" s="15" t="s">
        <v>621</v>
      </c>
      <c r="C21" s="14" t="s">
        <v>171</v>
      </c>
      <c r="D21" s="15" t="s">
        <v>657</v>
      </c>
      <c r="E21" s="14" t="s">
        <v>176</v>
      </c>
      <c r="F21" s="14" t="s">
        <v>180</v>
      </c>
      <c r="G21" s="15" t="s">
        <v>658</v>
      </c>
      <c r="H21" s="16" t="n">
        <v>0</v>
      </c>
      <c r="I21" s="21" t="n">
        <v>10</v>
      </c>
      <c r="J21" s="22" t="n">
        <f aca="false">IF(N21="完了",0,(H21*稼働カレンダー!$B$8+I21)*(1+稼働カレンダー!$B$7))</f>
        <v>12</v>
      </c>
      <c r="K21" s="22" t="n">
        <f aca="false">ROUND(SUM($J$5:J21),6)</f>
        <v>71.4</v>
      </c>
      <c r="L21" s="23" t="n">
        <f aca="false">IF(N21="完了","完了",IFERROR(INDEX(稼働カレンダー!$A$16:$A$215,COUNTIF(稼働カレンダー!$G$16:$G$215,"&lt;="&amp;ROUND(K21-J21,6))+1),"範囲外"))</f>
        <v>46328</v>
      </c>
      <c r="M21" s="23" t="n">
        <f aca="false">IF(N21="完了","完了",IFERROR(INDEX(稼働カレンダー!$A$16:$A$215,COUNTIF(稼働カレンダー!$G$16:$G$215,"&lt;"&amp;K21)+1),"範囲外"))</f>
        <v>46330</v>
      </c>
      <c r="N21" s="16" t="s">
        <v>76</v>
      </c>
    </row>
    <row r="22" customFormat="false" ht="18" hidden="false" customHeight="true" outlineLevel="0" collapsed="false">
      <c r="A22" s="15" t="n">
        <v>18</v>
      </c>
      <c r="B22" s="15" t="s">
        <v>659</v>
      </c>
      <c r="C22" s="14" t="s">
        <v>172</v>
      </c>
      <c r="D22" s="14" t="s">
        <v>660</v>
      </c>
      <c r="E22" s="14" t="s">
        <v>661</v>
      </c>
      <c r="F22" s="14" t="s">
        <v>172</v>
      </c>
      <c r="G22" s="15" t="s">
        <v>662</v>
      </c>
      <c r="H22" s="16" t="n">
        <v>0</v>
      </c>
      <c r="I22" s="21" t="n">
        <v>6</v>
      </c>
      <c r="J22" s="22" t="n">
        <f aca="false">IF(N22="完了",0,(H22*稼働カレンダー!$B$8+I22)*(1+稼働カレンダー!$B$7))</f>
        <v>7.2</v>
      </c>
      <c r="K22" s="22" t="n">
        <f aca="false">ROUND(SUM($J$5:J22),6)</f>
        <v>78.6</v>
      </c>
      <c r="L22" s="23" t="n">
        <f aca="false">IF(N22="完了","完了",IFERROR(INDEX(稼働カレンダー!$A$16:$A$215,COUNTIF(稼働カレンダー!$G$16:$G$215,"&lt;="&amp;ROUND(K22-J22,6))+1),"範囲外"))</f>
        <v>46330</v>
      </c>
      <c r="M22" s="23" t="n">
        <f aca="false">IF(N22="完了","完了",IFERROR(INDEX(稼働カレンダー!$A$16:$A$215,COUNTIF(稼働カレンダー!$G$16:$G$215,"&lt;"&amp;K22)+1),"範囲外"))</f>
        <v>46333</v>
      </c>
      <c r="N22" s="16" t="s">
        <v>76</v>
      </c>
    </row>
    <row r="23" customFormat="false" ht="18" hidden="false" customHeight="true" outlineLevel="0" collapsed="false">
      <c r="A23" s="15" t="n">
        <v>19</v>
      </c>
      <c r="B23" s="15" t="s">
        <v>663</v>
      </c>
      <c r="C23" s="14" t="s">
        <v>172</v>
      </c>
      <c r="D23" s="14" t="s">
        <v>664</v>
      </c>
      <c r="E23" s="14" t="s">
        <v>172</v>
      </c>
      <c r="F23" s="14" t="s">
        <v>605</v>
      </c>
      <c r="G23" s="15" t="s">
        <v>665</v>
      </c>
      <c r="H23" s="16" t="n">
        <v>0</v>
      </c>
      <c r="I23" s="21" t="n">
        <v>16</v>
      </c>
      <c r="J23" s="22" t="n">
        <f aca="false">IF(N23="完了",0,(H23*稼働カレンダー!$B$8+I23)*(1+稼働カレンダー!$B$7))</f>
        <v>19.2</v>
      </c>
      <c r="K23" s="22" t="n">
        <f aca="false">ROUND(SUM($J$5:J23),6)</f>
        <v>97.8</v>
      </c>
      <c r="L23" s="23" t="n">
        <f aca="false">IF(N23="完了","完了",IFERROR(INDEX(稼働カレンダー!$A$16:$A$215,COUNTIF(稼働カレンダー!$G$16:$G$215,"&lt;="&amp;ROUND(K23-J23,6))+1),"範囲外"))</f>
        <v>46333</v>
      </c>
      <c r="M23" s="23" t="n">
        <f aca="false">IF(N23="完了","完了",IFERROR(INDEX(稼働カレンダー!$A$16:$A$215,COUNTIF(稼働カレンダー!$G$16:$G$215,"&lt;"&amp;K23)+1),"範囲外"))</f>
        <v>46335</v>
      </c>
      <c r="N23" s="16" t="s">
        <v>76</v>
      </c>
    </row>
    <row r="24" customFormat="false" ht="18" hidden="false" customHeight="true" outlineLevel="0" collapsed="false">
      <c r="A24" s="15" t="n">
        <v>20</v>
      </c>
      <c r="B24" s="15" t="s">
        <v>663</v>
      </c>
      <c r="C24" s="14" t="s">
        <v>172</v>
      </c>
      <c r="D24" s="15" t="s">
        <v>666</v>
      </c>
      <c r="E24" s="14" t="s">
        <v>172</v>
      </c>
      <c r="F24" s="14" t="s">
        <v>605</v>
      </c>
      <c r="G24" s="14" t="s">
        <v>667</v>
      </c>
      <c r="H24" s="16" t="n">
        <v>0</v>
      </c>
      <c r="I24" s="21" t="n">
        <v>4</v>
      </c>
      <c r="J24" s="22" t="n">
        <f aca="false">IF(N24="完了",0,(H24*稼働カレンダー!$B$8+I24)*(1+稼働カレンダー!$B$7))</f>
        <v>4.8</v>
      </c>
      <c r="K24" s="22" t="n">
        <f aca="false">ROUND(SUM($J$5:J24),6)</f>
        <v>102.6</v>
      </c>
      <c r="L24" s="23" t="n">
        <f aca="false">IF(N24="完了","完了",IFERROR(INDEX(稼働カレンダー!$A$16:$A$215,COUNTIF(稼働カレンダー!$G$16:$G$215,"&lt;="&amp;ROUND(K24-J24,6))+1),"範囲外"))</f>
        <v>46335</v>
      </c>
      <c r="M24" s="23" t="n">
        <f aca="false">IF(N24="完了","完了",IFERROR(INDEX(稼働カレンダー!$A$16:$A$215,COUNTIF(稼働カレンダー!$G$16:$G$215,"&lt;"&amp;K24)+1),"範囲外"))</f>
        <v>46337</v>
      </c>
      <c r="N24" s="16" t="s">
        <v>76</v>
      </c>
    </row>
    <row r="25" customFormat="false" ht="18" hidden="false" customHeight="true" outlineLevel="0" collapsed="false">
      <c r="A25" s="15" t="n">
        <v>21</v>
      </c>
      <c r="B25" s="14" t="s">
        <v>185</v>
      </c>
      <c r="C25" s="14" t="s">
        <v>171</v>
      </c>
      <c r="D25" s="15" t="s">
        <v>355</v>
      </c>
      <c r="E25" s="14" t="s">
        <v>182</v>
      </c>
      <c r="F25" s="14" t="s">
        <v>187</v>
      </c>
      <c r="G25" s="15" t="s">
        <v>668</v>
      </c>
      <c r="H25" s="16" t="n">
        <v>0</v>
      </c>
      <c r="I25" s="21" t="n">
        <v>5</v>
      </c>
      <c r="J25" s="22" t="n">
        <f aca="false">IF(N25="完了",0,(H25*稼働カレンダー!$B$8+I25)*(1+稼働カレンダー!$B$7))</f>
        <v>6</v>
      </c>
      <c r="K25" s="22" t="n">
        <f aca="false">ROUND(SUM($J$5:J25),6)</f>
        <v>108.6</v>
      </c>
      <c r="L25" s="23" t="n">
        <f aca="false">IF(N25="完了","完了",IFERROR(INDEX(稼働カレンダー!$A$16:$A$215,COUNTIF(稼働カレンダー!$G$16:$G$215,"&lt;="&amp;ROUND(K25-J25,6))+1),"範囲外"))</f>
        <v>46337</v>
      </c>
      <c r="M25" s="23" t="n">
        <f aca="false">IF(N25="完了","完了",IFERROR(INDEX(稼働カレンダー!$A$16:$A$215,COUNTIF(稼働カレンダー!$G$16:$G$215,"&lt;"&amp;K25)+1),"範囲外"))</f>
        <v>46339</v>
      </c>
      <c r="N25" s="16" t="s">
        <v>76</v>
      </c>
    </row>
    <row r="26" customFormat="false" ht="15" hidden="false" customHeight="true" outlineLevel="0" collapsed="false">
      <c r="G26" s="24" t="s">
        <v>669</v>
      </c>
      <c r="H26" s="25" t="n">
        <f aca="false">SUM(H5:H25)</f>
        <v>20</v>
      </c>
      <c r="I26" s="26" t="n">
        <f aca="false">SUM(I5:I25)</f>
        <v>93</v>
      </c>
      <c r="J26" s="26" t="n">
        <f aca="false">SUM(J5:J25)</f>
        <v>108.6</v>
      </c>
    </row>
  </sheetData>
  <autoFilter ref="A4:N25"/>
  <conditionalFormatting sqref="N5:N25">
    <cfRule type="cellIs" priority="2" operator="equal" aboveAverage="0" equalAverage="0" bottom="0" percent="0" rank="0" text="" dxfId="7">
      <formula>"完了"</formula>
    </cfRule>
    <cfRule type="cellIs" priority="3" operator="equal" aboveAverage="0" equalAverage="0" bottom="0" percent="0" rank="0" text="" dxfId="8">
      <formula>"作業中"</formula>
    </cfRule>
    <cfRule type="cellIs" priority="4" operator="equal" aboveAverage="0" equalAverage="0" bottom="0" percent="0" rank="0" text="" dxfId="9">
      <formula>"対象外"</formula>
    </cfRule>
  </conditionalFormatting>
  <conditionalFormatting sqref="C5:C25">
    <cfRule type="cellIs" priority="5" operator="equal" aboveAverage="0" equalAverage="0" bottom="0" percent="0" rank="0" text="" dxfId="10">
      <formula>"Lesson 12〜14(要確認)"</formula>
    </cfRule>
  </conditionalFormatting>
  <dataValidations count="1">
    <dataValidation allowBlank="true" errorStyle="stop" operator="between" showDropDown="false" showErrorMessage="false" showInputMessage="false" sqref="N5:N25" type="list">
      <formula1>"未着手,作業中,完了"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8"/>
    <col collapsed="false" customWidth="true" hidden="false" outlineLevel="0" max="7" min="6" style="1" width="12"/>
    <col collapsed="false" customWidth="true" hidden="false" outlineLevel="0" max="8" min="8" style="1" width="3"/>
    <col collapsed="false" customWidth="true" hidden="false" outlineLevel="0" max="9" min="9" style="1" width="14"/>
    <col collapsed="false" customWidth="true" hidden="false" outlineLevel="0" max="10" min="10" style="1" width="16"/>
  </cols>
  <sheetData>
    <row r="1" customFormat="false" ht="18" hidden="false" customHeight="true" outlineLevel="0" collapsed="false">
      <c r="A1" s="2" t="s">
        <v>670</v>
      </c>
    </row>
    <row r="2" customFormat="false" ht="15" hidden="false" customHeight="true" outlineLevel="0" collapsed="false">
      <c r="A2" s="3" t="s">
        <v>671</v>
      </c>
    </row>
    <row r="4" customFormat="false" ht="16.5" hidden="false" customHeight="true" outlineLevel="0" collapsed="false">
      <c r="A4" s="27" t="s">
        <v>672</v>
      </c>
      <c r="B4" s="28" t="n">
        <v>46317</v>
      </c>
    </row>
    <row r="5" customFormat="false" ht="16.5" hidden="false" customHeight="true" outlineLevel="0" collapsed="false">
      <c r="A5" s="27" t="s">
        <v>673</v>
      </c>
      <c r="B5" s="29" t="n">
        <v>4.5</v>
      </c>
    </row>
    <row r="6" customFormat="false" ht="16.5" hidden="false" customHeight="true" outlineLevel="0" collapsed="false">
      <c r="A6" s="27" t="s">
        <v>674</v>
      </c>
      <c r="B6" s="29" t="n">
        <v>10</v>
      </c>
    </row>
    <row r="7" customFormat="false" ht="16.5" hidden="false" customHeight="true" outlineLevel="0" collapsed="false">
      <c r="A7" s="27" t="s">
        <v>675</v>
      </c>
      <c r="B7" s="30" t="n">
        <v>0.2</v>
      </c>
    </row>
    <row r="8" customFormat="false" ht="16.5" hidden="false" customHeight="true" outlineLevel="0" collapsed="false">
      <c r="A8" s="31" t="s">
        <v>676</v>
      </c>
      <c r="B8" s="29" t="n">
        <v>0.5</v>
      </c>
    </row>
    <row r="9" customFormat="false" ht="16.5" hidden="false" customHeight="true" outlineLevel="0" collapsed="false">
      <c r="A9" s="27" t="s">
        <v>677</v>
      </c>
      <c r="B9" s="29" t="n">
        <v>1</v>
      </c>
    </row>
    <row r="10" customFormat="false" ht="16.5" hidden="false" customHeight="true" outlineLevel="0" collapsed="false">
      <c r="A10" s="27" t="s">
        <v>678</v>
      </c>
      <c r="B10" s="29" t="n">
        <v>2</v>
      </c>
    </row>
    <row r="11" customFormat="false" ht="15" hidden="false" customHeight="true" outlineLevel="0" collapsed="false">
      <c r="A11" s="3" t="s">
        <v>679</v>
      </c>
    </row>
    <row r="12" customFormat="false" ht="15" hidden="false" customHeight="true" outlineLevel="0" collapsed="false">
      <c r="A12" s="3" t="s">
        <v>680</v>
      </c>
    </row>
    <row r="13" customFormat="false" ht="15" hidden="false" customHeight="true" outlineLevel="0" collapsed="false">
      <c r="A13" s="3" t="s">
        <v>681</v>
      </c>
    </row>
    <row r="14" customFormat="false" ht="15" hidden="false" customHeight="true" outlineLevel="0" collapsed="false">
      <c r="A14" s="3" t="s">
        <v>682</v>
      </c>
    </row>
    <row r="15" customFormat="false" ht="28.5" hidden="false" customHeight="true" outlineLevel="0" collapsed="false">
      <c r="A15" s="13" t="s">
        <v>683</v>
      </c>
      <c r="B15" s="13" t="s">
        <v>684</v>
      </c>
      <c r="C15" s="13" t="s">
        <v>685</v>
      </c>
      <c r="D15" s="13" t="s">
        <v>686</v>
      </c>
      <c r="E15" s="13" t="s">
        <v>240</v>
      </c>
      <c r="F15" s="13" t="s">
        <v>687</v>
      </c>
      <c r="G15" s="13" t="s">
        <v>600</v>
      </c>
      <c r="I15" s="13" t="s">
        <v>688</v>
      </c>
      <c r="J15" s="13" t="s">
        <v>689</v>
      </c>
    </row>
    <row r="16" customFormat="false" ht="16.5" hidden="false" customHeight="true" outlineLevel="0" collapsed="false">
      <c r="A16" s="32" t="n">
        <f aca="false">$B$4</f>
        <v>46317</v>
      </c>
      <c r="B16" s="33" t="str">
        <f aca="false">CHOOSE(WEEKDAY(A16),"日","月","火","水","木","金","土")</f>
        <v>木</v>
      </c>
      <c r="C16" s="33" t="str">
        <f aca="false">IF(OR(WEEKDAY(A16,2)&gt;5,COUNTIF($I$16:$I$35,A16)&gt;0),"休日","平日")</f>
        <v>平日</v>
      </c>
      <c r="D16" s="34"/>
      <c r="E16" s="33" t="str">
        <f aca="false">IF(D16&lt;&gt;"",D16,C16)</f>
        <v>平日</v>
      </c>
      <c r="F16" s="35" t="n">
        <f aca="false">IF(E16="休日",MAX(0,$B$6-$B$10),MAX(0,$B$5-$B$9))</f>
        <v>3.5</v>
      </c>
      <c r="G16" s="35" t="n">
        <f aca="false">F16</f>
        <v>3.5</v>
      </c>
      <c r="I16" s="28" t="n">
        <v>46329</v>
      </c>
      <c r="J16" s="36" t="s">
        <v>690</v>
      </c>
    </row>
    <row r="17" customFormat="false" ht="16.5" hidden="false" customHeight="true" outlineLevel="0" collapsed="false">
      <c r="A17" s="32" t="n">
        <f aca="false">A16+1</f>
        <v>46318</v>
      </c>
      <c r="B17" s="33" t="str">
        <f aca="false">CHOOSE(WEEKDAY(A17),"日","月","火","水","木","金","土")</f>
        <v>金</v>
      </c>
      <c r="C17" s="33" t="str">
        <f aca="false">IF(OR(WEEKDAY(A17,2)&gt;5,COUNTIF($I$16:$I$35,A17)&gt;0),"休日","平日")</f>
        <v>平日</v>
      </c>
      <c r="D17" s="34"/>
      <c r="E17" s="33" t="str">
        <f aca="false">IF(D17&lt;&gt;"",D17,C17)</f>
        <v>平日</v>
      </c>
      <c r="F17" s="35" t="n">
        <f aca="false">IF(E17="休日",MAX(0,$B$6-$B$10),MAX(0,$B$5-$B$9))</f>
        <v>3.5</v>
      </c>
      <c r="G17" s="35" t="n">
        <f aca="false">G16+F17</f>
        <v>7</v>
      </c>
      <c r="I17" s="28" t="n">
        <v>46349</v>
      </c>
      <c r="J17" s="36" t="s">
        <v>691</v>
      </c>
    </row>
    <row r="18" customFormat="false" ht="16.5" hidden="false" customHeight="true" outlineLevel="0" collapsed="false">
      <c r="A18" s="32" t="n">
        <f aca="false">A17+1</f>
        <v>46319</v>
      </c>
      <c r="B18" s="33" t="str">
        <f aca="false">CHOOSE(WEEKDAY(A18),"日","月","火","水","木","金","土")</f>
        <v>土</v>
      </c>
      <c r="C18" s="33" t="str">
        <f aca="false">IF(OR(WEEKDAY(A18,2)&gt;5,COUNTIF($I$16:$I$35,A18)&gt;0),"休日","平日")</f>
        <v>休日</v>
      </c>
      <c r="D18" s="34"/>
      <c r="E18" s="33" t="str">
        <f aca="false">IF(D18&lt;&gt;"",D18,C18)</f>
        <v>休日</v>
      </c>
      <c r="F18" s="35" t="n">
        <f aca="false">IF(E18="休日",MAX(0,$B$6-$B$10),MAX(0,$B$5-$B$9))</f>
        <v>8</v>
      </c>
      <c r="G18" s="35" t="n">
        <f aca="false">G17+F18</f>
        <v>15</v>
      </c>
      <c r="I18" s="28" t="n">
        <v>46388</v>
      </c>
      <c r="J18" s="36" t="s">
        <v>692</v>
      </c>
    </row>
    <row r="19" customFormat="false" ht="16.5" hidden="false" customHeight="true" outlineLevel="0" collapsed="false">
      <c r="A19" s="32" t="n">
        <f aca="false">A18+1</f>
        <v>46320</v>
      </c>
      <c r="B19" s="33" t="str">
        <f aca="false">CHOOSE(WEEKDAY(A19),"日","月","火","水","木","金","土")</f>
        <v>日</v>
      </c>
      <c r="C19" s="33" t="str">
        <f aca="false">IF(OR(WEEKDAY(A19,2)&gt;5,COUNTIF($I$16:$I$35,A19)&gt;0),"休日","平日")</f>
        <v>休日</v>
      </c>
      <c r="D19" s="34"/>
      <c r="E19" s="33" t="str">
        <f aca="false">IF(D19&lt;&gt;"",D19,C19)</f>
        <v>休日</v>
      </c>
      <c r="F19" s="35" t="n">
        <f aca="false">IF(E19="休日",MAX(0,$B$6-$B$10),MAX(0,$B$5-$B$9))</f>
        <v>8</v>
      </c>
      <c r="G19" s="35" t="n">
        <f aca="false">G18+F19</f>
        <v>23</v>
      </c>
      <c r="I19" s="28" t="n">
        <v>46398</v>
      </c>
      <c r="J19" s="36" t="s">
        <v>693</v>
      </c>
    </row>
    <row r="20" customFormat="false" ht="16.5" hidden="false" customHeight="true" outlineLevel="0" collapsed="false">
      <c r="A20" s="32" t="n">
        <f aca="false">A19+1</f>
        <v>46321</v>
      </c>
      <c r="B20" s="33" t="str">
        <f aca="false">CHOOSE(WEEKDAY(A20),"日","月","火","水","木","金","土")</f>
        <v>月</v>
      </c>
      <c r="C20" s="33" t="str">
        <f aca="false">IF(OR(WEEKDAY(A20,2)&gt;5,COUNTIF($I$16:$I$35,A20)&gt;0),"休日","平日")</f>
        <v>平日</v>
      </c>
      <c r="D20" s="34"/>
      <c r="E20" s="33" t="str">
        <f aca="false">IF(D20&lt;&gt;"",D20,C20)</f>
        <v>平日</v>
      </c>
      <c r="F20" s="35" t="n">
        <f aca="false">IF(E20="休日",MAX(0,$B$6-$B$10),MAX(0,$B$5-$B$9))</f>
        <v>3.5</v>
      </c>
      <c r="G20" s="35" t="n">
        <f aca="false">G19+F20</f>
        <v>26.5</v>
      </c>
      <c r="I20" s="28" t="n">
        <v>46429</v>
      </c>
      <c r="J20" s="36" t="s">
        <v>694</v>
      </c>
    </row>
    <row r="21" customFormat="false" ht="16.5" hidden="false" customHeight="true" outlineLevel="0" collapsed="false">
      <c r="A21" s="32" t="n">
        <f aca="false">A20+1</f>
        <v>46322</v>
      </c>
      <c r="B21" s="33" t="str">
        <f aca="false">CHOOSE(WEEKDAY(A21),"日","月","火","水","木","金","土")</f>
        <v>火</v>
      </c>
      <c r="C21" s="33" t="str">
        <f aca="false">IF(OR(WEEKDAY(A21,2)&gt;5,COUNTIF($I$16:$I$35,A21)&gt;0),"休日","平日")</f>
        <v>平日</v>
      </c>
      <c r="D21" s="34"/>
      <c r="E21" s="33" t="str">
        <f aca="false">IF(D21&lt;&gt;"",D21,C21)</f>
        <v>平日</v>
      </c>
      <c r="F21" s="35" t="n">
        <f aca="false">IF(E21="休日",MAX(0,$B$6-$B$10),MAX(0,$B$5-$B$9))</f>
        <v>3.5</v>
      </c>
      <c r="G21" s="35" t="n">
        <f aca="false">G20+F21</f>
        <v>30</v>
      </c>
      <c r="I21" s="28" t="n">
        <v>46441</v>
      </c>
      <c r="J21" s="36" t="s">
        <v>695</v>
      </c>
    </row>
    <row r="22" customFormat="false" ht="16.5" hidden="false" customHeight="true" outlineLevel="0" collapsed="false">
      <c r="A22" s="32" t="n">
        <f aca="false">A21+1</f>
        <v>46323</v>
      </c>
      <c r="B22" s="33" t="str">
        <f aca="false">CHOOSE(WEEKDAY(A22),"日","月","火","水","木","金","土")</f>
        <v>水</v>
      </c>
      <c r="C22" s="33" t="str">
        <f aca="false">IF(OR(WEEKDAY(A22,2)&gt;5,COUNTIF($I$16:$I$35,A22)&gt;0),"休日","平日")</f>
        <v>平日</v>
      </c>
      <c r="D22" s="34"/>
      <c r="E22" s="33" t="str">
        <f aca="false">IF(D22&lt;&gt;"",D22,C22)</f>
        <v>平日</v>
      </c>
      <c r="F22" s="35" t="n">
        <f aca="false">IF(E22="休日",MAX(0,$B$6-$B$10),MAX(0,$B$5-$B$9))</f>
        <v>3.5</v>
      </c>
      <c r="G22" s="35" t="n">
        <f aca="false">G21+F22</f>
        <v>33.5</v>
      </c>
      <c r="I22" s="28"/>
      <c r="J22" s="36"/>
    </row>
    <row r="23" customFormat="false" ht="16.5" hidden="false" customHeight="true" outlineLevel="0" collapsed="false">
      <c r="A23" s="32" t="n">
        <f aca="false">A22+1</f>
        <v>46324</v>
      </c>
      <c r="B23" s="33" t="str">
        <f aca="false">CHOOSE(WEEKDAY(A23),"日","月","火","水","木","金","土")</f>
        <v>木</v>
      </c>
      <c r="C23" s="33" t="str">
        <f aca="false">IF(OR(WEEKDAY(A23,2)&gt;5,COUNTIF($I$16:$I$35,A23)&gt;0),"休日","平日")</f>
        <v>平日</v>
      </c>
      <c r="D23" s="34"/>
      <c r="E23" s="33" t="str">
        <f aca="false">IF(D23&lt;&gt;"",D23,C23)</f>
        <v>平日</v>
      </c>
      <c r="F23" s="35" t="n">
        <f aca="false">IF(E23="休日",MAX(0,$B$6-$B$10),MAX(0,$B$5-$B$9))</f>
        <v>3.5</v>
      </c>
      <c r="G23" s="35" t="n">
        <f aca="false">G22+F23</f>
        <v>37</v>
      </c>
      <c r="I23" s="28"/>
      <c r="J23" s="36"/>
    </row>
    <row r="24" customFormat="false" ht="16.5" hidden="false" customHeight="true" outlineLevel="0" collapsed="false">
      <c r="A24" s="32" t="n">
        <f aca="false">A23+1</f>
        <v>46325</v>
      </c>
      <c r="B24" s="33" t="str">
        <f aca="false">CHOOSE(WEEKDAY(A24),"日","月","火","水","木","金","土")</f>
        <v>金</v>
      </c>
      <c r="C24" s="33" t="str">
        <f aca="false">IF(OR(WEEKDAY(A24,2)&gt;5,COUNTIF($I$16:$I$35,A24)&gt;0),"休日","平日")</f>
        <v>平日</v>
      </c>
      <c r="D24" s="34"/>
      <c r="E24" s="33" t="str">
        <f aca="false">IF(D24&lt;&gt;"",D24,C24)</f>
        <v>平日</v>
      </c>
      <c r="F24" s="35" t="n">
        <f aca="false">IF(E24="休日",MAX(0,$B$6-$B$10),MAX(0,$B$5-$B$9))</f>
        <v>3.5</v>
      </c>
      <c r="G24" s="35" t="n">
        <f aca="false">G23+F24</f>
        <v>40.5</v>
      </c>
      <c r="I24" s="28"/>
      <c r="J24" s="36"/>
    </row>
    <row r="25" customFormat="false" ht="16.5" hidden="false" customHeight="true" outlineLevel="0" collapsed="false">
      <c r="A25" s="32" t="n">
        <f aca="false">A24+1</f>
        <v>46326</v>
      </c>
      <c r="B25" s="33" t="str">
        <f aca="false">CHOOSE(WEEKDAY(A25),"日","月","火","水","木","金","土")</f>
        <v>土</v>
      </c>
      <c r="C25" s="33" t="str">
        <f aca="false">IF(OR(WEEKDAY(A25,2)&gt;5,COUNTIF($I$16:$I$35,A25)&gt;0),"休日","平日")</f>
        <v>休日</v>
      </c>
      <c r="D25" s="34"/>
      <c r="E25" s="33" t="str">
        <f aca="false">IF(D25&lt;&gt;"",D25,C25)</f>
        <v>休日</v>
      </c>
      <c r="F25" s="35" t="n">
        <f aca="false">IF(E25="休日",MAX(0,$B$6-$B$10),MAX(0,$B$5-$B$9))</f>
        <v>8</v>
      </c>
      <c r="G25" s="35" t="n">
        <f aca="false">G24+F25</f>
        <v>48.5</v>
      </c>
      <c r="I25" s="28"/>
      <c r="J25" s="36"/>
    </row>
    <row r="26" customFormat="false" ht="16.5" hidden="false" customHeight="true" outlineLevel="0" collapsed="false">
      <c r="A26" s="32" t="n">
        <f aca="false">A25+1</f>
        <v>46327</v>
      </c>
      <c r="B26" s="33" t="str">
        <f aca="false">CHOOSE(WEEKDAY(A26),"日","月","火","水","木","金","土")</f>
        <v>日</v>
      </c>
      <c r="C26" s="33" t="str">
        <f aca="false">IF(OR(WEEKDAY(A26,2)&gt;5,COUNTIF($I$16:$I$35,A26)&gt;0),"休日","平日")</f>
        <v>休日</v>
      </c>
      <c r="D26" s="34"/>
      <c r="E26" s="33" t="str">
        <f aca="false">IF(D26&lt;&gt;"",D26,C26)</f>
        <v>休日</v>
      </c>
      <c r="F26" s="35" t="n">
        <f aca="false">IF(E26="休日",MAX(0,$B$6-$B$10),MAX(0,$B$5-$B$9))</f>
        <v>8</v>
      </c>
      <c r="G26" s="35" t="n">
        <f aca="false">G25+F26</f>
        <v>56.5</v>
      </c>
      <c r="I26" s="28"/>
      <c r="J26" s="36"/>
    </row>
    <row r="27" customFormat="false" ht="16.5" hidden="false" customHeight="true" outlineLevel="0" collapsed="false">
      <c r="A27" s="32" t="n">
        <f aca="false">A26+1</f>
        <v>46328</v>
      </c>
      <c r="B27" s="33" t="str">
        <f aca="false">CHOOSE(WEEKDAY(A27),"日","月","火","水","木","金","土")</f>
        <v>月</v>
      </c>
      <c r="C27" s="33" t="str">
        <f aca="false">IF(OR(WEEKDAY(A27,2)&gt;5,COUNTIF($I$16:$I$35,A27)&gt;0),"休日","平日")</f>
        <v>平日</v>
      </c>
      <c r="D27" s="34"/>
      <c r="E27" s="33" t="str">
        <f aca="false">IF(D27&lt;&gt;"",D27,C27)</f>
        <v>平日</v>
      </c>
      <c r="F27" s="35" t="n">
        <f aca="false">IF(E27="休日",MAX(0,$B$6-$B$10),MAX(0,$B$5-$B$9))</f>
        <v>3.5</v>
      </c>
      <c r="G27" s="35" t="n">
        <f aca="false">G26+F27</f>
        <v>60</v>
      </c>
      <c r="I27" s="28"/>
      <c r="J27" s="36"/>
    </row>
    <row r="28" customFormat="false" ht="16.5" hidden="false" customHeight="true" outlineLevel="0" collapsed="false">
      <c r="A28" s="32" t="n">
        <f aca="false">A27+1</f>
        <v>46329</v>
      </c>
      <c r="B28" s="33" t="str">
        <f aca="false">CHOOSE(WEEKDAY(A28),"日","月","火","水","木","金","土")</f>
        <v>火</v>
      </c>
      <c r="C28" s="33" t="str">
        <f aca="false">IF(OR(WEEKDAY(A28,2)&gt;5,COUNTIF($I$16:$I$35,A28)&gt;0),"休日","平日")</f>
        <v>休日</v>
      </c>
      <c r="D28" s="34"/>
      <c r="E28" s="33" t="str">
        <f aca="false">IF(D28&lt;&gt;"",D28,C28)</f>
        <v>休日</v>
      </c>
      <c r="F28" s="35" t="n">
        <f aca="false">IF(E28="休日",MAX(0,$B$6-$B$10),MAX(0,$B$5-$B$9))</f>
        <v>8</v>
      </c>
      <c r="G28" s="35" t="n">
        <f aca="false">G27+F28</f>
        <v>68</v>
      </c>
      <c r="I28" s="28"/>
      <c r="J28" s="36"/>
    </row>
    <row r="29" customFormat="false" ht="16.5" hidden="false" customHeight="true" outlineLevel="0" collapsed="false">
      <c r="A29" s="32" t="n">
        <f aca="false">A28+1</f>
        <v>46330</v>
      </c>
      <c r="B29" s="33" t="str">
        <f aca="false">CHOOSE(WEEKDAY(A29),"日","月","火","水","木","金","土")</f>
        <v>水</v>
      </c>
      <c r="C29" s="33" t="str">
        <f aca="false">IF(OR(WEEKDAY(A29,2)&gt;5,COUNTIF($I$16:$I$35,A29)&gt;0),"休日","平日")</f>
        <v>平日</v>
      </c>
      <c r="D29" s="34"/>
      <c r="E29" s="33" t="str">
        <f aca="false">IF(D29&lt;&gt;"",D29,C29)</f>
        <v>平日</v>
      </c>
      <c r="F29" s="35" t="n">
        <f aca="false">IF(E29="休日",MAX(0,$B$6-$B$10),MAX(0,$B$5-$B$9))</f>
        <v>3.5</v>
      </c>
      <c r="G29" s="35" t="n">
        <f aca="false">G28+F29</f>
        <v>71.5</v>
      </c>
      <c r="I29" s="28"/>
      <c r="J29" s="36"/>
    </row>
    <row r="30" customFormat="false" ht="16.5" hidden="false" customHeight="true" outlineLevel="0" collapsed="false">
      <c r="A30" s="32" t="n">
        <f aca="false">A29+1</f>
        <v>46331</v>
      </c>
      <c r="B30" s="33" t="str">
        <f aca="false">CHOOSE(WEEKDAY(A30),"日","月","火","水","木","金","土")</f>
        <v>木</v>
      </c>
      <c r="C30" s="33" t="str">
        <f aca="false">IF(OR(WEEKDAY(A30,2)&gt;5,COUNTIF($I$16:$I$35,A30)&gt;0),"休日","平日")</f>
        <v>平日</v>
      </c>
      <c r="D30" s="34"/>
      <c r="E30" s="33" t="str">
        <f aca="false">IF(D30&lt;&gt;"",D30,C30)</f>
        <v>平日</v>
      </c>
      <c r="F30" s="35" t="n">
        <f aca="false">IF(E30="休日",MAX(0,$B$6-$B$10),MAX(0,$B$5-$B$9))</f>
        <v>3.5</v>
      </c>
      <c r="G30" s="35" t="n">
        <f aca="false">G29+F30</f>
        <v>75</v>
      </c>
      <c r="I30" s="28"/>
      <c r="J30" s="36"/>
    </row>
    <row r="31" customFormat="false" ht="16.5" hidden="false" customHeight="true" outlineLevel="0" collapsed="false">
      <c r="A31" s="32" t="n">
        <f aca="false">A30+1</f>
        <v>46332</v>
      </c>
      <c r="B31" s="33" t="str">
        <f aca="false">CHOOSE(WEEKDAY(A31),"日","月","火","水","木","金","土")</f>
        <v>金</v>
      </c>
      <c r="C31" s="33" t="str">
        <f aca="false">IF(OR(WEEKDAY(A31,2)&gt;5,COUNTIF($I$16:$I$35,A31)&gt;0),"休日","平日")</f>
        <v>平日</v>
      </c>
      <c r="D31" s="34"/>
      <c r="E31" s="33" t="str">
        <f aca="false">IF(D31&lt;&gt;"",D31,C31)</f>
        <v>平日</v>
      </c>
      <c r="F31" s="35" t="n">
        <f aca="false">IF(E31="休日",MAX(0,$B$6-$B$10),MAX(0,$B$5-$B$9))</f>
        <v>3.5</v>
      </c>
      <c r="G31" s="35" t="n">
        <f aca="false">G30+F31</f>
        <v>78.5</v>
      </c>
      <c r="I31" s="28"/>
      <c r="J31" s="36"/>
    </row>
    <row r="32" customFormat="false" ht="16.5" hidden="false" customHeight="true" outlineLevel="0" collapsed="false">
      <c r="A32" s="32" t="n">
        <f aca="false">A31+1</f>
        <v>46333</v>
      </c>
      <c r="B32" s="33" t="str">
        <f aca="false">CHOOSE(WEEKDAY(A32),"日","月","火","水","木","金","土")</f>
        <v>土</v>
      </c>
      <c r="C32" s="33" t="str">
        <f aca="false">IF(OR(WEEKDAY(A32,2)&gt;5,COUNTIF($I$16:$I$35,A32)&gt;0),"休日","平日")</f>
        <v>休日</v>
      </c>
      <c r="D32" s="34"/>
      <c r="E32" s="33" t="str">
        <f aca="false">IF(D32&lt;&gt;"",D32,C32)</f>
        <v>休日</v>
      </c>
      <c r="F32" s="35" t="n">
        <f aca="false">IF(E32="休日",MAX(0,$B$6-$B$10),MAX(0,$B$5-$B$9))</f>
        <v>8</v>
      </c>
      <c r="G32" s="35" t="n">
        <f aca="false">G31+F32</f>
        <v>86.5</v>
      </c>
      <c r="I32" s="28"/>
      <c r="J32" s="36"/>
    </row>
    <row r="33" customFormat="false" ht="16.5" hidden="false" customHeight="true" outlineLevel="0" collapsed="false">
      <c r="A33" s="32" t="n">
        <f aca="false">A32+1</f>
        <v>46334</v>
      </c>
      <c r="B33" s="33" t="str">
        <f aca="false">CHOOSE(WEEKDAY(A33),"日","月","火","水","木","金","土")</f>
        <v>日</v>
      </c>
      <c r="C33" s="33" t="str">
        <f aca="false">IF(OR(WEEKDAY(A33,2)&gt;5,COUNTIF($I$16:$I$35,A33)&gt;0),"休日","平日")</f>
        <v>休日</v>
      </c>
      <c r="D33" s="34"/>
      <c r="E33" s="33" t="str">
        <f aca="false">IF(D33&lt;&gt;"",D33,C33)</f>
        <v>休日</v>
      </c>
      <c r="F33" s="35" t="n">
        <f aca="false">IF(E33="休日",MAX(0,$B$6-$B$10),MAX(0,$B$5-$B$9))</f>
        <v>8</v>
      </c>
      <c r="G33" s="35" t="n">
        <f aca="false">G32+F33</f>
        <v>94.5</v>
      </c>
      <c r="I33" s="28"/>
      <c r="J33" s="36"/>
    </row>
    <row r="34" customFormat="false" ht="16.5" hidden="false" customHeight="true" outlineLevel="0" collapsed="false">
      <c r="A34" s="32" t="n">
        <f aca="false">A33+1</f>
        <v>46335</v>
      </c>
      <c r="B34" s="33" t="str">
        <f aca="false">CHOOSE(WEEKDAY(A34),"日","月","火","水","木","金","土")</f>
        <v>月</v>
      </c>
      <c r="C34" s="33" t="str">
        <f aca="false">IF(OR(WEEKDAY(A34,2)&gt;5,COUNTIF($I$16:$I$35,A34)&gt;0),"休日","平日")</f>
        <v>平日</v>
      </c>
      <c r="D34" s="34"/>
      <c r="E34" s="33" t="str">
        <f aca="false">IF(D34&lt;&gt;"",D34,C34)</f>
        <v>平日</v>
      </c>
      <c r="F34" s="35" t="n">
        <f aca="false">IF(E34="休日",MAX(0,$B$6-$B$10),MAX(0,$B$5-$B$9))</f>
        <v>3.5</v>
      </c>
      <c r="G34" s="35" t="n">
        <f aca="false">G33+F34</f>
        <v>98</v>
      </c>
      <c r="I34" s="28"/>
      <c r="J34" s="36"/>
    </row>
    <row r="35" customFormat="false" ht="16.5" hidden="false" customHeight="true" outlineLevel="0" collapsed="false">
      <c r="A35" s="32" t="n">
        <f aca="false">A34+1</f>
        <v>46336</v>
      </c>
      <c r="B35" s="33" t="str">
        <f aca="false">CHOOSE(WEEKDAY(A35),"日","月","火","水","木","金","土")</f>
        <v>火</v>
      </c>
      <c r="C35" s="33" t="str">
        <f aca="false">IF(OR(WEEKDAY(A35,2)&gt;5,COUNTIF($I$16:$I$35,A35)&gt;0),"休日","平日")</f>
        <v>平日</v>
      </c>
      <c r="D35" s="34"/>
      <c r="E35" s="33" t="str">
        <f aca="false">IF(D35&lt;&gt;"",D35,C35)</f>
        <v>平日</v>
      </c>
      <c r="F35" s="35" t="n">
        <f aca="false">IF(E35="休日",MAX(0,$B$6-$B$10),MAX(0,$B$5-$B$9))</f>
        <v>3.5</v>
      </c>
      <c r="G35" s="35" t="n">
        <f aca="false">G34+F35</f>
        <v>101.5</v>
      </c>
      <c r="I35" s="28"/>
      <c r="J35" s="36"/>
    </row>
    <row r="36" customFormat="false" ht="16.5" hidden="false" customHeight="true" outlineLevel="0" collapsed="false">
      <c r="A36" s="32" t="n">
        <f aca="false">A35+1</f>
        <v>46337</v>
      </c>
      <c r="B36" s="33" t="str">
        <f aca="false">CHOOSE(WEEKDAY(A36),"日","月","火","水","木","金","土")</f>
        <v>水</v>
      </c>
      <c r="C36" s="33" t="str">
        <f aca="false">IF(OR(WEEKDAY(A36,2)&gt;5,COUNTIF($I$16:$I$35,A36)&gt;0),"休日","平日")</f>
        <v>平日</v>
      </c>
      <c r="D36" s="34"/>
      <c r="E36" s="33" t="str">
        <f aca="false">IF(D36&lt;&gt;"",D36,C36)</f>
        <v>平日</v>
      </c>
      <c r="F36" s="35" t="n">
        <f aca="false">IF(E36="休日",MAX(0,$B$6-$B$10),MAX(0,$B$5-$B$9))</f>
        <v>3.5</v>
      </c>
      <c r="G36" s="35" t="n">
        <f aca="false">G35+F36</f>
        <v>105</v>
      </c>
    </row>
    <row r="37" customFormat="false" ht="16.5" hidden="false" customHeight="true" outlineLevel="0" collapsed="false">
      <c r="A37" s="32" t="n">
        <f aca="false">A36+1</f>
        <v>46338</v>
      </c>
      <c r="B37" s="33" t="str">
        <f aca="false">CHOOSE(WEEKDAY(A37),"日","月","火","水","木","金","土")</f>
        <v>木</v>
      </c>
      <c r="C37" s="33" t="str">
        <f aca="false">IF(OR(WEEKDAY(A37,2)&gt;5,COUNTIF($I$16:$I$35,A37)&gt;0),"休日","平日")</f>
        <v>平日</v>
      </c>
      <c r="D37" s="34"/>
      <c r="E37" s="33" t="str">
        <f aca="false">IF(D37&lt;&gt;"",D37,C37)</f>
        <v>平日</v>
      </c>
      <c r="F37" s="35" t="n">
        <f aca="false">IF(E37="休日",MAX(0,$B$6-$B$10),MAX(0,$B$5-$B$9))</f>
        <v>3.5</v>
      </c>
      <c r="G37" s="35" t="n">
        <f aca="false">G36+F37</f>
        <v>108.5</v>
      </c>
    </row>
    <row r="38" customFormat="false" ht="16.5" hidden="false" customHeight="true" outlineLevel="0" collapsed="false">
      <c r="A38" s="32" t="n">
        <f aca="false">A37+1</f>
        <v>46339</v>
      </c>
      <c r="B38" s="33" t="str">
        <f aca="false">CHOOSE(WEEKDAY(A38),"日","月","火","水","木","金","土")</f>
        <v>金</v>
      </c>
      <c r="C38" s="33" t="str">
        <f aca="false">IF(OR(WEEKDAY(A38,2)&gt;5,COUNTIF($I$16:$I$35,A38)&gt;0),"休日","平日")</f>
        <v>平日</v>
      </c>
      <c r="D38" s="34"/>
      <c r="E38" s="33" t="str">
        <f aca="false">IF(D38&lt;&gt;"",D38,C38)</f>
        <v>平日</v>
      </c>
      <c r="F38" s="35" t="n">
        <f aca="false">IF(E38="休日",MAX(0,$B$6-$B$10),MAX(0,$B$5-$B$9))</f>
        <v>3.5</v>
      </c>
      <c r="G38" s="35" t="n">
        <f aca="false">G37+F38</f>
        <v>112</v>
      </c>
    </row>
    <row r="39" customFormat="false" ht="16.5" hidden="false" customHeight="true" outlineLevel="0" collapsed="false">
      <c r="A39" s="32" t="n">
        <f aca="false">A38+1</f>
        <v>46340</v>
      </c>
      <c r="B39" s="33" t="str">
        <f aca="false">CHOOSE(WEEKDAY(A39),"日","月","火","水","木","金","土")</f>
        <v>土</v>
      </c>
      <c r="C39" s="33" t="str">
        <f aca="false">IF(OR(WEEKDAY(A39,2)&gt;5,COUNTIF($I$16:$I$35,A39)&gt;0),"休日","平日")</f>
        <v>休日</v>
      </c>
      <c r="D39" s="34"/>
      <c r="E39" s="33" t="str">
        <f aca="false">IF(D39&lt;&gt;"",D39,C39)</f>
        <v>休日</v>
      </c>
      <c r="F39" s="35" t="n">
        <f aca="false">IF(E39="休日",MAX(0,$B$6-$B$10),MAX(0,$B$5-$B$9))</f>
        <v>8</v>
      </c>
      <c r="G39" s="35" t="n">
        <f aca="false">G38+F39</f>
        <v>120</v>
      </c>
    </row>
    <row r="40" customFormat="false" ht="16.5" hidden="false" customHeight="true" outlineLevel="0" collapsed="false">
      <c r="A40" s="32" t="n">
        <f aca="false">A39+1</f>
        <v>46341</v>
      </c>
      <c r="B40" s="33" t="str">
        <f aca="false">CHOOSE(WEEKDAY(A40),"日","月","火","水","木","金","土")</f>
        <v>日</v>
      </c>
      <c r="C40" s="33" t="str">
        <f aca="false">IF(OR(WEEKDAY(A40,2)&gt;5,COUNTIF($I$16:$I$35,A40)&gt;0),"休日","平日")</f>
        <v>休日</v>
      </c>
      <c r="D40" s="34"/>
      <c r="E40" s="33" t="str">
        <f aca="false">IF(D40&lt;&gt;"",D40,C40)</f>
        <v>休日</v>
      </c>
      <c r="F40" s="35" t="n">
        <f aca="false">IF(E40="休日",MAX(0,$B$6-$B$10),MAX(0,$B$5-$B$9))</f>
        <v>8</v>
      </c>
      <c r="G40" s="35" t="n">
        <f aca="false">G39+F40</f>
        <v>128</v>
      </c>
    </row>
    <row r="41" customFormat="false" ht="16.5" hidden="false" customHeight="true" outlineLevel="0" collapsed="false">
      <c r="A41" s="32" t="n">
        <f aca="false">A40+1</f>
        <v>46342</v>
      </c>
      <c r="B41" s="33" t="str">
        <f aca="false">CHOOSE(WEEKDAY(A41),"日","月","火","水","木","金","土")</f>
        <v>月</v>
      </c>
      <c r="C41" s="33" t="str">
        <f aca="false">IF(OR(WEEKDAY(A41,2)&gt;5,COUNTIF($I$16:$I$35,A41)&gt;0),"休日","平日")</f>
        <v>平日</v>
      </c>
      <c r="D41" s="34"/>
      <c r="E41" s="33" t="str">
        <f aca="false">IF(D41&lt;&gt;"",D41,C41)</f>
        <v>平日</v>
      </c>
      <c r="F41" s="35" t="n">
        <f aca="false">IF(E41="休日",MAX(0,$B$6-$B$10),MAX(0,$B$5-$B$9))</f>
        <v>3.5</v>
      </c>
      <c r="G41" s="35" t="n">
        <f aca="false">G40+F41</f>
        <v>131.5</v>
      </c>
    </row>
    <row r="42" customFormat="false" ht="16.5" hidden="false" customHeight="true" outlineLevel="0" collapsed="false">
      <c r="A42" s="32" t="n">
        <f aca="false">A41+1</f>
        <v>46343</v>
      </c>
      <c r="B42" s="33" t="str">
        <f aca="false">CHOOSE(WEEKDAY(A42),"日","月","火","水","木","金","土")</f>
        <v>火</v>
      </c>
      <c r="C42" s="33" t="str">
        <f aca="false">IF(OR(WEEKDAY(A42,2)&gt;5,COUNTIF($I$16:$I$35,A42)&gt;0),"休日","平日")</f>
        <v>平日</v>
      </c>
      <c r="D42" s="34"/>
      <c r="E42" s="33" t="str">
        <f aca="false">IF(D42&lt;&gt;"",D42,C42)</f>
        <v>平日</v>
      </c>
      <c r="F42" s="35" t="n">
        <f aca="false">IF(E42="休日",MAX(0,$B$6-$B$10),MAX(0,$B$5-$B$9))</f>
        <v>3.5</v>
      </c>
      <c r="G42" s="35" t="n">
        <f aca="false">G41+F42</f>
        <v>135</v>
      </c>
    </row>
    <row r="43" customFormat="false" ht="16.5" hidden="false" customHeight="true" outlineLevel="0" collapsed="false">
      <c r="A43" s="32" t="n">
        <f aca="false">A42+1</f>
        <v>46344</v>
      </c>
      <c r="B43" s="33" t="str">
        <f aca="false">CHOOSE(WEEKDAY(A43),"日","月","火","水","木","金","土")</f>
        <v>水</v>
      </c>
      <c r="C43" s="33" t="str">
        <f aca="false">IF(OR(WEEKDAY(A43,2)&gt;5,COUNTIF($I$16:$I$35,A43)&gt;0),"休日","平日")</f>
        <v>平日</v>
      </c>
      <c r="D43" s="34"/>
      <c r="E43" s="33" t="str">
        <f aca="false">IF(D43&lt;&gt;"",D43,C43)</f>
        <v>平日</v>
      </c>
      <c r="F43" s="35" t="n">
        <f aca="false">IF(E43="休日",MAX(0,$B$6-$B$10),MAX(0,$B$5-$B$9))</f>
        <v>3.5</v>
      </c>
      <c r="G43" s="35" t="n">
        <f aca="false">G42+F43</f>
        <v>138.5</v>
      </c>
    </row>
    <row r="44" customFormat="false" ht="16.5" hidden="false" customHeight="true" outlineLevel="0" collapsed="false">
      <c r="A44" s="32" t="n">
        <f aca="false">A43+1</f>
        <v>46345</v>
      </c>
      <c r="B44" s="33" t="str">
        <f aca="false">CHOOSE(WEEKDAY(A44),"日","月","火","水","木","金","土")</f>
        <v>木</v>
      </c>
      <c r="C44" s="33" t="str">
        <f aca="false">IF(OR(WEEKDAY(A44,2)&gt;5,COUNTIF($I$16:$I$35,A44)&gt;0),"休日","平日")</f>
        <v>平日</v>
      </c>
      <c r="D44" s="34"/>
      <c r="E44" s="33" t="str">
        <f aca="false">IF(D44&lt;&gt;"",D44,C44)</f>
        <v>平日</v>
      </c>
      <c r="F44" s="35" t="n">
        <f aca="false">IF(E44="休日",MAX(0,$B$6-$B$10),MAX(0,$B$5-$B$9))</f>
        <v>3.5</v>
      </c>
      <c r="G44" s="35" t="n">
        <f aca="false">G43+F44</f>
        <v>142</v>
      </c>
    </row>
    <row r="45" customFormat="false" ht="16.5" hidden="false" customHeight="true" outlineLevel="0" collapsed="false">
      <c r="A45" s="32" t="n">
        <f aca="false">A44+1</f>
        <v>46346</v>
      </c>
      <c r="B45" s="33" t="str">
        <f aca="false">CHOOSE(WEEKDAY(A45),"日","月","火","水","木","金","土")</f>
        <v>金</v>
      </c>
      <c r="C45" s="33" t="str">
        <f aca="false">IF(OR(WEEKDAY(A45,2)&gt;5,COUNTIF($I$16:$I$35,A45)&gt;0),"休日","平日")</f>
        <v>平日</v>
      </c>
      <c r="D45" s="34"/>
      <c r="E45" s="33" t="str">
        <f aca="false">IF(D45&lt;&gt;"",D45,C45)</f>
        <v>平日</v>
      </c>
      <c r="F45" s="35" t="n">
        <f aca="false">IF(E45="休日",MAX(0,$B$6-$B$10),MAX(0,$B$5-$B$9))</f>
        <v>3.5</v>
      </c>
      <c r="G45" s="35" t="n">
        <f aca="false">G44+F45</f>
        <v>145.5</v>
      </c>
    </row>
    <row r="46" customFormat="false" ht="16.5" hidden="false" customHeight="true" outlineLevel="0" collapsed="false">
      <c r="A46" s="32" t="n">
        <f aca="false">A45+1</f>
        <v>46347</v>
      </c>
      <c r="B46" s="33" t="str">
        <f aca="false">CHOOSE(WEEKDAY(A46),"日","月","火","水","木","金","土")</f>
        <v>土</v>
      </c>
      <c r="C46" s="33" t="str">
        <f aca="false">IF(OR(WEEKDAY(A46,2)&gt;5,COUNTIF($I$16:$I$35,A46)&gt;0),"休日","平日")</f>
        <v>休日</v>
      </c>
      <c r="D46" s="34"/>
      <c r="E46" s="33" t="str">
        <f aca="false">IF(D46&lt;&gt;"",D46,C46)</f>
        <v>休日</v>
      </c>
      <c r="F46" s="35" t="n">
        <f aca="false">IF(E46="休日",MAX(0,$B$6-$B$10),MAX(0,$B$5-$B$9))</f>
        <v>8</v>
      </c>
      <c r="G46" s="35" t="n">
        <f aca="false">G45+F46</f>
        <v>153.5</v>
      </c>
    </row>
    <row r="47" customFormat="false" ht="16.5" hidden="false" customHeight="true" outlineLevel="0" collapsed="false">
      <c r="A47" s="32" t="n">
        <f aca="false">A46+1</f>
        <v>46348</v>
      </c>
      <c r="B47" s="33" t="str">
        <f aca="false">CHOOSE(WEEKDAY(A47),"日","月","火","水","木","金","土")</f>
        <v>日</v>
      </c>
      <c r="C47" s="33" t="str">
        <f aca="false">IF(OR(WEEKDAY(A47,2)&gt;5,COUNTIF($I$16:$I$35,A47)&gt;0),"休日","平日")</f>
        <v>休日</v>
      </c>
      <c r="D47" s="34"/>
      <c r="E47" s="33" t="str">
        <f aca="false">IF(D47&lt;&gt;"",D47,C47)</f>
        <v>休日</v>
      </c>
      <c r="F47" s="35" t="n">
        <f aca="false">IF(E47="休日",MAX(0,$B$6-$B$10),MAX(0,$B$5-$B$9))</f>
        <v>8</v>
      </c>
      <c r="G47" s="35" t="n">
        <f aca="false">G46+F47</f>
        <v>161.5</v>
      </c>
    </row>
    <row r="48" customFormat="false" ht="16.5" hidden="false" customHeight="true" outlineLevel="0" collapsed="false">
      <c r="A48" s="32" t="n">
        <f aca="false">A47+1</f>
        <v>46349</v>
      </c>
      <c r="B48" s="33" t="str">
        <f aca="false">CHOOSE(WEEKDAY(A48),"日","月","火","水","木","金","土")</f>
        <v>月</v>
      </c>
      <c r="C48" s="33" t="str">
        <f aca="false">IF(OR(WEEKDAY(A48,2)&gt;5,COUNTIF($I$16:$I$35,A48)&gt;0),"休日","平日")</f>
        <v>休日</v>
      </c>
      <c r="D48" s="34"/>
      <c r="E48" s="33" t="str">
        <f aca="false">IF(D48&lt;&gt;"",D48,C48)</f>
        <v>休日</v>
      </c>
      <c r="F48" s="35" t="n">
        <f aca="false">IF(E48="休日",MAX(0,$B$6-$B$10),MAX(0,$B$5-$B$9))</f>
        <v>8</v>
      </c>
      <c r="G48" s="35" t="n">
        <f aca="false">G47+F48</f>
        <v>169.5</v>
      </c>
    </row>
    <row r="49" customFormat="false" ht="16.5" hidden="false" customHeight="true" outlineLevel="0" collapsed="false">
      <c r="A49" s="32" t="n">
        <f aca="false">A48+1</f>
        <v>46350</v>
      </c>
      <c r="B49" s="33" t="str">
        <f aca="false">CHOOSE(WEEKDAY(A49),"日","月","火","水","木","金","土")</f>
        <v>火</v>
      </c>
      <c r="C49" s="33" t="str">
        <f aca="false">IF(OR(WEEKDAY(A49,2)&gt;5,COUNTIF($I$16:$I$35,A49)&gt;0),"休日","平日")</f>
        <v>平日</v>
      </c>
      <c r="D49" s="34"/>
      <c r="E49" s="33" t="str">
        <f aca="false">IF(D49&lt;&gt;"",D49,C49)</f>
        <v>平日</v>
      </c>
      <c r="F49" s="35" t="n">
        <f aca="false">IF(E49="休日",MAX(0,$B$6-$B$10),MAX(0,$B$5-$B$9))</f>
        <v>3.5</v>
      </c>
      <c r="G49" s="35" t="n">
        <f aca="false">G48+F49</f>
        <v>173</v>
      </c>
    </row>
    <row r="50" customFormat="false" ht="16.5" hidden="false" customHeight="true" outlineLevel="0" collapsed="false">
      <c r="A50" s="32" t="n">
        <f aca="false">A49+1</f>
        <v>46351</v>
      </c>
      <c r="B50" s="33" t="str">
        <f aca="false">CHOOSE(WEEKDAY(A50),"日","月","火","水","木","金","土")</f>
        <v>水</v>
      </c>
      <c r="C50" s="33" t="str">
        <f aca="false">IF(OR(WEEKDAY(A50,2)&gt;5,COUNTIF($I$16:$I$35,A50)&gt;0),"休日","平日")</f>
        <v>平日</v>
      </c>
      <c r="D50" s="34"/>
      <c r="E50" s="33" t="str">
        <f aca="false">IF(D50&lt;&gt;"",D50,C50)</f>
        <v>平日</v>
      </c>
      <c r="F50" s="35" t="n">
        <f aca="false">IF(E50="休日",MAX(0,$B$6-$B$10),MAX(0,$B$5-$B$9))</f>
        <v>3.5</v>
      </c>
      <c r="G50" s="35" t="n">
        <f aca="false">G49+F50</f>
        <v>176.5</v>
      </c>
    </row>
    <row r="51" customFormat="false" ht="16.5" hidden="false" customHeight="true" outlineLevel="0" collapsed="false">
      <c r="A51" s="32" t="n">
        <f aca="false">A50+1</f>
        <v>46352</v>
      </c>
      <c r="B51" s="33" t="str">
        <f aca="false">CHOOSE(WEEKDAY(A51),"日","月","火","水","木","金","土")</f>
        <v>木</v>
      </c>
      <c r="C51" s="33" t="str">
        <f aca="false">IF(OR(WEEKDAY(A51,2)&gt;5,COUNTIF($I$16:$I$35,A51)&gt;0),"休日","平日")</f>
        <v>平日</v>
      </c>
      <c r="D51" s="34"/>
      <c r="E51" s="33" t="str">
        <f aca="false">IF(D51&lt;&gt;"",D51,C51)</f>
        <v>平日</v>
      </c>
      <c r="F51" s="35" t="n">
        <f aca="false">IF(E51="休日",MAX(0,$B$6-$B$10),MAX(0,$B$5-$B$9))</f>
        <v>3.5</v>
      </c>
      <c r="G51" s="35" t="n">
        <f aca="false">G50+F51</f>
        <v>180</v>
      </c>
    </row>
    <row r="52" customFormat="false" ht="16.5" hidden="false" customHeight="true" outlineLevel="0" collapsed="false">
      <c r="A52" s="32" t="n">
        <f aca="false">A51+1</f>
        <v>46353</v>
      </c>
      <c r="B52" s="33" t="str">
        <f aca="false">CHOOSE(WEEKDAY(A52),"日","月","火","水","木","金","土")</f>
        <v>金</v>
      </c>
      <c r="C52" s="33" t="str">
        <f aca="false">IF(OR(WEEKDAY(A52,2)&gt;5,COUNTIF($I$16:$I$35,A52)&gt;0),"休日","平日")</f>
        <v>平日</v>
      </c>
      <c r="D52" s="34"/>
      <c r="E52" s="33" t="str">
        <f aca="false">IF(D52&lt;&gt;"",D52,C52)</f>
        <v>平日</v>
      </c>
      <c r="F52" s="35" t="n">
        <f aca="false">IF(E52="休日",MAX(0,$B$6-$B$10),MAX(0,$B$5-$B$9))</f>
        <v>3.5</v>
      </c>
      <c r="G52" s="35" t="n">
        <f aca="false">G51+F52</f>
        <v>183.5</v>
      </c>
    </row>
    <row r="53" customFormat="false" ht="16.5" hidden="false" customHeight="true" outlineLevel="0" collapsed="false">
      <c r="A53" s="32" t="n">
        <f aca="false">A52+1</f>
        <v>46354</v>
      </c>
      <c r="B53" s="33" t="str">
        <f aca="false">CHOOSE(WEEKDAY(A53),"日","月","火","水","木","金","土")</f>
        <v>土</v>
      </c>
      <c r="C53" s="33" t="str">
        <f aca="false">IF(OR(WEEKDAY(A53,2)&gt;5,COUNTIF($I$16:$I$35,A53)&gt;0),"休日","平日")</f>
        <v>休日</v>
      </c>
      <c r="D53" s="34"/>
      <c r="E53" s="33" t="str">
        <f aca="false">IF(D53&lt;&gt;"",D53,C53)</f>
        <v>休日</v>
      </c>
      <c r="F53" s="35" t="n">
        <f aca="false">IF(E53="休日",MAX(0,$B$6-$B$10),MAX(0,$B$5-$B$9))</f>
        <v>8</v>
      </c>
      <c r="G53" s="35" t="n">
        <f aca="false">G52+F53</f>
        <v>191.5</v>
      </c>
    </row>
    <row r="54" customFormat="false" ht="16.5" hidden="false" customHeight="true" outlineLevel="0" collapsed="false">
      <c r="A54" s="32" t="n">
        <f aca="false">A53+1</f>
        <v>46355</v>
      </c>
      <c r="B54" s="33" t="str">
        <f aca="false">CHOOSE(WEEKDAY(A54),"日","月","火","水","木","金","土")</f>
        <v>日</v>
      </c>
      <c r="C54" s="33" t="str">
        <f aca="false">IF(OR(WEEKDAY(A54,2)&gt;5,COUNTIF($I$16:$I$35,A54)&gt;0),"休日","平日")</f>
        <v>休日</v>
      </c>
      <c r="D54" s="34"/>
      <c r="E54" s="33" t="str">
        <f aca="false">IF(D54&lt;&gt;"",D54,C54)</f>
        <v>休日</v>
      </c>
      <c r="F54" s="35" t="n">
        <f aca="false">IF(E54="休日",MAX(0,$B$6-$B$10),MAX(0,$B$5-$B$9))</f>
        <v>8</v>
      </c>
      <c r="G54" s="35" t="n">
        <f aca="false">G53+F54</f>
        <v>199.5</v>
      </c>
    </row>
    <row r="55" customFormat="false" ht="16.5" hidden="false" customHeight="true" outlineLevel="0" collapsed="false">
      <c r="A55" s="32" t="n">
        <f aca="false">A54+1</f>
        <v>46356</v>
      </c>
      <c r="B55" s="33" t="str">
        <f aca="false">CHOOSE(WEEKDAY(A55),"日","月","火","水","木","金","土")</f>
        <v>月</v>
      </c>
      <c r="C55" s="33" t="str">
        <f aca="false">IF(OR(WEEKDAY(A55,2)&gt;5,COUNTIF($I$16:$I$35,A55)&gt;0),"休日","平日")</f>
        <v>平日</v>
      </c>
      <c r="D55" s="34"/>
      <c r="E55" s="33" t="str">
        <f aca="false">IF(D55&lt;&gt;"",D55,C55)</f>
        <v>平日</v>
      </c>
      <c r="F55" s="35" t="n">
        <f aca="false">IF(E55="休日",MAX(0,$B$6-$B$10),MAX(0,$B$5-$B$9))</f>
        <v>3.5</v>
      </c>
      <c r="G55" s="35" t="n">
        <f aca="false">G54+F55</f>
        <v>203</v>
      </c>
    </row>
    <row r="56" customFormat="false" ht="16.5" hidden="false" customHeight="true" outlineLevel="0" collapsed="false">
      <c r="A56" s="32" t="n">
        <f aca="false">A55+1</f>
        <v>46357</v>
      </c>
      <c r="B56" s="33" t="str">
        <f aca="false">CHOOSE(WEEKDAY(A56),"日","月","火","水","木","金","土")</f>
        <v>火</v>
      </c>
      <c r="C56" s="33" t="str">
        <f aca="false">IF(OR(WEEKDAY(A56,2)&gt;5,COUNTIF($I$16:$I$35,A56)&gt;0),"休日","平日")</f>
        <v>平日</v>
      </c>
      <c r="D56" s="34"/>
      <c r="E56" s="33" t="str">
        <f aca="false">IF(D56&lt;&gt;"",D56,C56)</f>
        <v>平日</v>
      </c>
      <c r="F56" s="35" t="n">
        <f aca="false">IF(E56="休日",MAX(0,$B$6-$B$10),MAX(0,$B$5-$B$9))</f>
        <v>3.5</v>
      </c>
      <c r="G56" s="35" t="n">
        <f aca="false">G55+F56</f>
        <v>206.5</v>
      </c>
    </row>
    <row r="57" customFormat="false" ht="16.5" hidden="false" customHeight="true" outlineLevel="0" collapsed="false">
      <c r="A57" s="32" t="n">
        <f aca="false">A56+1</f>
        <v>46358</v>
      </c>
      <c r="B57" s="33" t="str">
        <f aca="false">CHOOSE(WEEKDAY(A57),"日","月","火","水","木","金","土")</f>
        <v>水</v>
      </c>
      <c r="C57" s="33" t="str">
        <f aca="false">IF(OR(WEEKDAY(A57,2)&gt;5,COUNTIF($I$16:$I$35,A57)&gt;0),"休日","平日")</f>
        <v>平日</v>
      </c>
      <c r="D57" s="34"/>
      <c r="E57" s="33" t="str">
        <f aca="false">IF(D57&lt;&gt;"",D57,C57)</f>
        <v>平日</v>
      </c>
      <c r="F57" s="35" t="n">
        <f aca="false">IF(E57="休日",MAX(0,$B$6-$B$10),MAX(0,$B$5-$B$9))</f>
        <v>3.5</v>
      </c>
      <c r="G57" s="35" t="n">
        <f aca="false">G56+F57</f>
        <v>210</v>
      </c>
    </row>
    <row r="58" customFormat="false" ht="16.5" hidden="false" customHeight="true" outlineLevel="0" collapsed="false">
      <c r="A58" s="32" t="n">
        <f aca="false">A57+1</f>
        <v>46359</v>
      </c>
      <c r="B58" s="33" t="str">
        <f aca="false">CHOOSE(WEEKDAY(A58),"日","月","火","水","木","金","土")</f>
        <v>木</v>
      </c>
      <c r="C58" s="33" t="str">
        <f aca="false">IF(OR(WEEKDAY(A58,2)&gt;5,COUNTIF($I$16:$I$35,A58)&gt;0),"休日","平日")</f>
        <v>平日</v>
      </c>
      <c r="D58" s="34"/>
      <c r="E58" s="33" t="str">
        <f aca="false">IF(D58&lt;&gt;"",D58,C58)</f>
        <v>平日</v>
      </c>
      <c r="F58" s="35" t="n">
        <f aca="false">IF(E58="休日",MAX(0,$B$6-$B$10),MAX(0,$B$5-$B$9))</f>
        <v>3.5</v>
      </c>
      <c r="G58" s="35" t="n">
        <f aca="false">G57+F58</f>
        <v>213.5</v>
      </c>
    </row>
    <row r="59" customFormat="false" ht="16.5" hidden="false" customHeight="true" outlineLevel="0" collapsed="false">
      <c r="A59" s="32" t="n">
        <f aca="false">A58+1</f>
        <v>46360</v>
      </c>
      <c r="B59" s="33" t="str">
        <f aca="false">CHOOSE(WEEKDAY(A59),"日","月","火","水","木","金","土")</f>
        <v>金</v>
      </c>
      <c r="C59" s="33" t="str">
        <f aca="false">IF(OR(WEEKDAY(A59,2)&gt;5,COUNTIF($I$16:$I$35,A59)&gt;0),"休日","平日")</f>
        <v>平日</v>
      </c>
      <c r="D59" s="34"/>
      <c r="E59" s="33" t="str">
        <f aca="false">IF(D59&lt;&gt;"",D59,C59)</f>
        <v>平日</v>
      </c>
      <c r="F59" s="35" t="n">
        <f aca="false">IF(E59="休日",MAX(0,$B$6-$B$10),MAX(0,$B$5-$B$9))</f>
        <v>3.5</v>
      </c>
      <c r="G59" s="35" t="n">
        <f aca="false">G58+F59</f>
        <v>217</v>
      </c>
    </row>
    <row r="60" customFormat="false" ht="16.5" hidden="false" customHeight="true" outlineLevel="0" collapsed="false">
      <c r="A60" s="32" t="n">
        <f aca="false">A59+1</f>
        <v>46361</v>
      </c>
      <c r="B60" s="33" t="str">
        <f aca="false">CHOOSE(WEEKDAY(A60),"日","月","火","水","木","金","土")</f>
        <v>土</v>
      </c>
      <c r="C60" s="33" t="str">
        <f aca="false">IF(OR(WEEKDAY(A60,2)&gt;5,COUNTIF($I$16:$I$35,A60)&gt;0),"休日","平日")</f>
        <v>休日</v>
      </c>
      <c r="D60" s="34"/>
      <c r="E60" s="33" t="str">
        <f aca="false">IF(D60&lt;&gt;"",D60,C60)</f>
        <v>休日</v>
      </c>
      <c r="F60" s="35" t="n">
        <f aca="false">IF(E60="休日",MAX(0,$B$6-$B$10),MAX(0,$B$5-$B$9))</f>
        <v>8</v>
      </c>
      <c r="G60" s="35" t="n">
        <f aca="false">G59+F60</f>
        <v>225</v>
      </c>
    </row>
    <row r="61" customFormat="false" ht="16.5" hidden="false" customHeight="true" outlineLevel="0" collapsed="false">
      <c r="A61" s="32" t="n">
        <f aca="false">A60+1</f>
        <v>46362</v>
      </c>
      <c r="B61" s="33" t="str">
        <f aca="false">CHOOSE(WEEKDAY(A61),"日","月","火","水","木","金","土")</f>
        <v>日</v>
      </c>
      <c r="C61" s="33" t="str">
        <f aca="false">IF(OR(WEEKDAY(A61,2)&gt;5,COUNTIF($I$16:$I$35,A61)&gt;0),"休日","平日")</f>
        <v>休日</v>
      </c>
      <c r="D61" s="34"/>
      <c r="E61" s="33" t="str">
        <f aca="false">IF(D61&lt;&gt;"",D61,C61)</f>
        <v>休日</v>
      </c>
      <c r="F61" s="35" t="n">
        <f aca="false">IF(E61="休日",MAX(0,$B$6-$B$10),MAX(0,$B$5-$B$9))</f>
        <v>8</v>
      </c>
      <c r="G61" s="35" t="n">
        <f aca="false">G60+F61</f>
        <v>233</v>
      </c>
    </row>
    <row r="62" customFormat="false" ht="16.5" hidden="false" customHeight="true" outlineLevel="0" collapsed="false">
      <c r="A62" s="32" t="n">
        <f aca="false">A61+1</f>
        <v>46363</v>
      </c>
      <c r="B62" s="33" t="str">
        <f aca="false">CHOOSE(WEEKDAY(A62),"日","月","火","水","木","金","土")</f>
        <v>月</v>
      </c>
      <c r="C62" s="33" t="str">
        <f aca="false">IF(OR(WEEKDAY(A62,2)&gt;5,COUNTIF($I$16:$I$35,A62)&gt;0),"休日","平日")</f>
        <v>平日</v>
      </c>
      <c r="D62" s="34"/>
      <c r="E62" s="33" t="str">
        <f aca="false">IF(D62&lt;&gt;"",D62,C62)</f>
        <v>平日</v>
      </c>
      <c r="F62" s="35" t="n">
        <f aca="false">IF(E62="休日",MAX(0,$B$6-$B$10),MAX(0,$B$5-$B$9))</f>
        <v>3.5</v>
      </c>
      <c r="G62" s="35" t="n">
        <f aca="false">G61+F62</f>
        <v>236.5</v>
      </c>
    </row>
    <row r="63" customFormat="false" ht="16.5" hidden="false" customHeight="true" outlineLevel="0" collapsed="false">
      <c r="A63" s="32" t="n">
        <f aca="false">A62+1</f>
        <v>46364</v>
      </c>
      <c r="B63" s="33" t="str">
        <f aca="false">CHOOSE(WEEKDAY(A63),"日","月","火","水","木","金","土")</f>
        <v>火</v>
      </c>
      <c r="C63" s="33" t="str">
        <f aca="false">IF(OR(WEEKDAY(A63,2)&gt;5,COUNTIF($I$16:$I$35,A63)&gt;0),"休日","平日")</f>
        <v>平日</v>
      </c>
      <c r="D63" s="34"/>
      <c r="E63" s="33" t="str">
        <f aca="false">IF(D63&lt;&gt;"",D63,C63)</f>
        <v>平日</v>
      </c>
      <c r="F63" s="35" t="n">
        <f aca="false">IF(E63="休日",MAX(0,$B$6-$B$10),MAX(0,$B$5-$B$9))</f>
        <v>3.5</v>
      </c>
      <c r="G63" s="35" t="n">
        <f aca="false">G62+F63</f>
        <v>240</v>
      </c>
    </row>
    <row r="64" customFormat="false" ht="16.5" hidden="false" customHeight="true" outlineLevel="0" collapsed="false">
      <c r="A64" s="32" t="n">
        <f aca="false">A63+1</f>
        <v>46365</v>
      </c>
      <c r="B64" s="33" t="str">
        <f aca="false">CHOOSE(WEEKDAY(A64),"日","月","火","水","木","金","土")</f>
        <v>水</v>
      </c>
      <c r="C64" s="33" t="str">
        <f aca="false">IF(OR(WEEKDAY(A64,2)&gt;5,COUNTIF($I$16:$I$35,A64)&gt;0),"休日","平日")</f>
        <v>平日</v>
      </c>
      <c r="D64" s="34"/>
      <c r="E64" s="33" t="str">
        <f aca="false">IF(D64&lt;&gt;"",D64,C64)</f>
        <v>平日</v>
      </c>
      <c r="F64" s="35" t="n">
        <f aca="false">IF(E64="休日",MAX(0,$B$6-$B$10),MAX(0,$B$5-$B$9))</f>
        <v>3.5</v>
      </c>
      <c r="G64" s="35" t="n">
        <f aca="false">G63+F64</f>
        <v>243.5</v>
      </c>
    </row>
    <row r="65" customFormat="false" ht="16.5" hidden="false" customHeight="true" outlineLevel="0" collapsed="false">
      <c r="A65" s="32" t="n">
        <f aca="false">A64+1</f>
        <v>46366</v>
      </c>
      <c r="B65" s="33" t="str">
        <f aca="false">CHOOSE(WEEKDAY(A65),"日","月","火","水","木","金","土")</f>
        <v>木</v>
      </c>
      <c r="C65" s="33" t="str">
        <f aca="false">IF(OR(WEEKDAY(A65,2)&gt;5,COUNTIF($I$16:$I$35,A65)&gt;0),"休日","平日")</f>
        <v>平日</v>
      </c>
      <c r="D65" s="34"/>
      <c r="E65" s="33" t="str">
        <f aca="false">IF(D65&lt;&gt;"",D65,C65)</f>
        <v>平日</v>
      </c>
      <c r="F65" s="35" t="n">
        <f aca="false">IF(E65="休日",MAX(0,$B$6-$B$10),MAX(0,$B$5-$B$9))</f>
        <v>3.5</v>
      </c>
      <c r="G65" s="35" t="n">
        <f aca="false">G64+F65</f>
        <v>247</v>
      </c>
    </row>
    <row r="66" customFormat="false" ht="16.5" hidden="false" customHeight="true" outlineLevel="0" collapsed="false">
      <c r="A66" s="32" t="n">
        <f aca="false">A65+1</f>
        <v>46367</v>
      </c>
      <c r="B66" s="33" t="str">
        <f aca="false">CHOOSE(WEEKDAY(A66),"日","月","火","水","木","金","土")</f>
        <v>金</v>
      </c>
      <c r="C66" s="33" t="str">
        <f aca="false">IF(OR(WEEKDAY(A66,2)&gt;5,COUNTIF($I$16:$I$35,A66)&gt;0),"休日","平日")</f>
        <v>平日</v>
      </c>
      <c r="D66" s="34"/>
      <c r="E66" s="33" t="str">
        <f aca="false">IF(D66&lt;&gt;"",D66,C66)</f>
        <v>平日</v>
      </c>
      <c r="F66" s="35" t="n">
        <f aca="false">IF(E66="休日",MAX(0,$B$6-$B$10),MAX(0,$B$5-$B$9))</f>
        <v>3.5</v>
      </c>
      <c r="G66" s="35" t="n">
        <f aca="false">G65+F66</f>
        <v>250.5</v>
      </c>
    </row>
    <row r="67" customFormat="false" ht="16.5" hidden="false" customHeight="true" outlineLevel="0" collapsed="false">
      <c r="A67" s="32" t="n">
        <f aca="false">A66+1</f>
        <v>46368</v>
      </c>
      <c r="B67" s="33" t="str">
        <f aca="false">CHOOSE(WEEKDAY(A67),"日","月","火","水","木","金","土")</f>
        <v>土</v>
      </c>
      <c r="C67" s="33" t="str">
        <f aca="false">IF(OR(WEEKDAY(A67,2)&gt;5,COUNTIF($I$16:$I$35,A67)&gt;0),"休日","平日")</f>
        <v>休日</v>
      </c>
      <c r="D67" s="34"/>
      <c r="E67" s="33" t="str">
        <f aca="false">IF(D67&lt;&gt;"",D67,C67)</f>
        <v>休日</v>
      </c>
      <c r="F67" s="35" t="n">
        <f aca="false">IF(E67="休日",MAX(0,$B$6-$B$10),MAX(0,$B$5-$B$9))</f>
        <v>8</v>
      </c>
      <c r="G67" s="35" t="n">
        <f aca="false">G66+F67</f>
        <v>258.5</v>
      </c>
    </row>
    <row r="68" customFormat="false" ht="16.5" hidden="false" customHeight="true" outlineLevel="0" collapsed="false">
      <c r="A68" s="32" t="n">
        <f aca="false">A67+1</f>
        <v>46369</v>
      </c>
      <c r="B68" s="33" t="str">
        <f aca="false">CHOOSE(WEEKDAY(A68),"日","月","火","水","木","金","土")</f>
        <v>日</v>
      </c>
      <c r="C68" s="33" t="str">
        <f aca="false">IF(OR(WEEKDAY(A68,2)&gt;5,COUNTIF($I$16:$I$35,A68)&gt;0),"休日","平日")</f>
        <v>休日</v>
      </c>
      <c r="D68" s="34"/>
      <c r="E68" s="33" t="str">
        <f aca="false">IF(D68&lt;&gt;"",D68,C68)</f>
        <v>休日</v>
      </c>
      <c r="F68" s="35" t="n">
        <f aca="false">IF(E68="休日",MAX(0,$B$6-$B$10),MAX(0,$B$5-$B$9))</f>
        <v>8</v>
      </c>
      <c r="G68" s="35" t="n">
        <f aca="false">G67+F68</f>
        <v>266.5</v>
      </c>
    </row>
    <row r="69" customFormat="false" ht="16.5" hidden="false" customHeight="true" outlineLevel="0" collapsed="false">
      <c r="A69" s="32" t="n">
        <f aca="false">A68+1</f>
        <v>46370</v>
      </c>
      <c r="B69" s="33" t="str">
        <f aca="false">CHOOSE(WEEKDAY(A69),"日","月","火","水","木","金","土")</f>
        <v>月</v>
      </c>
      <c r="C69" s="33" t="str">
        <f aca="false">IF(OR(WEEKDAY(A69,2)&gt;5,COUNTIF($I$16:$I$35,A69)&gt;0),"休日","平日")</f>
        <v>平日</v>
      </c>
      <c r="D69" s="34"/>
      <c r="E69" s="33" t="str">
        <f aca="false">IF(D69&lt;&gt;"",D69,C69)</f>
        <v>平日</v>
      </c>
      <c r="F69" s="35" t="n">
        <f aca="false">IF(E69="休日",MAX(0,$B$6-$B$10),MAX(0,$B$5-$B$9))</f>
        <v>3.5</v>
      </c>
      <c r="G69" s="35" t="n">
        <f aca="false">G68+F69</f>
        <v>270</v>
      </c>
    </row>
    <row r="70" customFormat="false" ht="16.5" hidden="false" customHeight="true" outlineLevel="0" collapsed="false">
      <c r="A70" s="32" t="n">
        <f aca="false">A69+1</f>
        <v>46371</v>
      </c>
      <c r="B70" s="33" t="str">
        <f aca="false">CHOOSE(WEEKDAY(A70),"日","月","火","水","木","金","土")</f>
        <v>火</v>
      </c>
      <c r="C70" s="33" t="str">
        <f aca="false">IF(OR(WEEKDAY(A70,2)&gt;5,COUNTIF($I$16:$I$35,A70)&gt;0),"休日","平日")</f>
        <v>平日</v>
      </c>
      <c r="D70" s="34"/>
      <c r="E70" s="33" t="str">
        <f aca="false">IF(D70&lt;&gt;"",D70,C70)</f>
        <v>平日</v>
      </c>
      <c r="F70" s="35" t="n">
        <f aca="false">IF(E70="休日",MAX(0,$B$6-$B$10),MAX(0,$B$5-$B$9))</f>
        <v>3.5</v>
      </c>
      <c r="G70" s="35" t="n">
        <f aca="false">G69+F70</f>
        <v>273.5</v>
      </c>
    </row>
    <row r="71" customFormat="false" ht="16.5" hidden="false" customHeight="true" outlineLevel="0" collapsed="false">
      <c r="A71" s="32" t="n">
        <f aca="false">A70+1</f>
        <v>46372</v>
      </c>
      <c r="B71" s="33" t="str">
        <f aca="false">CHOOSE(WEEKDAY(A71),"日","月","火","水","木","金","土")</f>
        <v>水</v>
      </c>
      <c r="C71" s="33" t="str">
        <f aca="false">IF(OR(WEEKDAY(A71,2)&gt;5,COUNTIF($I$16:$I$35,A71)&gt;0),"休日","平日")</f>
        <v>平日</v>
      </c>
      <c r="D71" s="34"/>
      <c r="E71" s="33" t="str">
        <f aca="false">IF(D71&lt;&gt;"",D71,C71)</f>
        <v>平日</v>
      </c>
      <c r="F71" s="35" t="n">
        <f aca="false">IF(E71="休日",MAX(0,$B$6-$B$10),MAX(0,$B$5-$B$9))</f>
        <v>3.5</v>
      </c>
      <c r="G71" s="35" t="n">
        <f aca="false">G70+F71</f>
        <v>277</v>
      </c>
    </row>
    <row r="72" customFormat="false" ht="16.5" hidden="false" customHeight="true" outlineLevel="0" collapsed="false">
      <c r="A72" s="32" t="n">
        <f aca="false">A71+1</f>
        <v>46373</v>
      </c>
      <c r="B72" s="33" t="str">
        <f aca="false">CHOOSE(WEEKDAY(A72),"日","月","火","水","木","金","土")</f>
        <v>木</v>
      </c>
      <c r="C72" s="33" t="str">
        <f aca="false">IF(OR(WEEKDAY(A72,2)&gt;5,COUNTIF($I$16:$I$35,A72)&gt;0),"休日","平日")</f>
        <v>平日</v>
      </c>
      <c r="D72" s="34"/>
      <c r="E72" s="33" t="str">
        <f aca="false">IF(D72&lt;&gt;"",D72,C72)</f>
        <v>平日</v>
      </c>
      <c r="F72" s="35" t="n">
        <f aca="false">IF(E72="休日",MAX(0,$B$6-$B$10),MAX(0,$B$5-$B$9))</f>
        <v>3.5</v>
      </c>
      <c r="G72" s="35" t="n">
        <f aca="false">G71+F72</f>
        <v>280.5</v>
      </c>
    </row>
    <row r="73" customFormat="false" ht="16.5" hidden="false" customHeight="true" outlineLevel="0" collapsed="false">
      <c r="A73" s="32" t="n">
        <f aca="false">A72+1</f>
        <v>46374</v>
      </c>
      <c r="B73" s="33" t="str">
        <f aca="false">CHOOSE(WEEKDAY(A73),"日","月","火","水","木","金","土")</f>
        <v>金</v>
      </c>
      <c r="C73" s="33" t="str">
        <f aca="false">IF(OR(WEEKDAY(A73,2)&gt;5,COUNTIF($I$16:$I$35,A73)&gt;0),"休日","平日")</f>
        <v>平日</v>
      </c>
      <c r="D73" s="34"/>
      <c r="E73" s="33" t="str">
        <f aca="false">IF(D73&lt;&gt;"",D73,C73)</f>
        <v>平日</v>
      </c>
      <c r="F73" s="35" t="n">
        <f aca="false">IF(E73="休日",MAX(0,$B$6-$B$10),MAX(0,$B$5-$B$9))</f>
        <v>3.5</v>
      </c>
      <c r="G73" s="35" t="n">
        <f aca="false">G72+F73</f>
        <v>284</v>
      </c>
    </row>
    <row r="74" customFormat="false" ht="16.5" hidden="false" customHeight="true" outlineLevel="0" collapsed="false">
      <c r="A74" s="32" t="n">
        <f aca="false">A73+1</f>
        <v>46375</v>
      </c>
      <c r="B74" s="33" t="str">
        <f aca="false">CHOOSE(WEEKDAY(A74),"日","月","火","水","木","金","土")</f>
        <v>土</v>
      </c>
      <c r="C74" s="33" t="str">
        <f aca="false">IF(OR(WEEKDAY(A74,2)&gt;5,COUNTIF($I$16:$I$35,A74)&gt;0),"休日","平日")</f>
        <v>休日</v>
      </c>
      <c r="D74" s="34"/>
      <c r="E74" s="33" t="str">
        <f aca="false">IF(D74&lt;&gt;"",D74,C74)</f>
        <v>休日</v>
      </c>
      <c r="F74" s="35" t="n">
        <f aca="false">IF(E74="休日",MAX(0,$B$6-$B$10),MAX(0,$B$5-$B$9))</f>
        <v>8</v>
      </c>
      <c r="G74" s="35" t="n">
        <f aca="false">G73+F74</f>
        <v>292</v>
      </c>
    </row>
    <row r="75" customFormat="false" ht="16.5" hidden="false" customHeight="true" outlineLevel="0" collapsed="false">
      <c r="A75" s="32" t="n">
        <f aca="false">A74+1</f>
        <v>46376</v>
      </c>
      <c r="B75" s="33" t="str">
        <f aca="false">CHOOSE(WEEKDAY(A75),"日","月","火","水","木","金","土")</f>
        <v>日</v>
      </c>
      <c r="C75" s="33" t="str">
        <f aca="false">IF(OR(WEEKDAY(A75,2)&gt;5,COUNTIF($I$16:$I$35,A75)&gt;0),"休日","平日")</f>
        <v>休日</v>
      </c>
      <c r="D75" s="34"/>
      <c r="E75" s="33" t="str">
        <f aca="false">IF(D75&lt;&gt;"",D75,C75)</f>
        <v>休日</v>
      </c>
      <c r="F75" s="35" t="n">
        <f aca="false">IF(E75="休日",MAX(0,$B$6-$B$10),MAX(0,$B$5-$B$9))</f>
        <v>8</v>
      </c>
      <c r="G75" s="35" t="n">
        <f aca="false">G74+F75</f>
        <v>300</v>
      </c>
    </row>
    <row r="76" customFormat="false" ht="16.5" hidden="false" customHeight="true" outlineLevel="0" collapsed="false">
      <c r="A76" s="32" t="n">
        <f aca="false">A75+1</f>
        <v>46377</v>
      </c>
      <c r="B76" s="33" t="str">
        <f aca="false">CHOOSE(WEEKDAY(A76),"日","月","火","水","木","金","土")</f>
        <v>月</v>
      </c>
      <c r="C76" s="33" t="str">
        <f aca="false">IF(OR(WEEKDAY(A76,2)&gt;5,COUNTIF($I$16:$I$35,A76)&gt;0),"休日","平日")</f>
        <v>平日</v>
      </c>
      <c r="D76" s="34"/>
      <c r="E76" s="33" t="str">
        <f aca="false">IF(D76&lt;&gt;"",D76,C76)</f>
        <v>平日</v>
      </c>
      <c r="F76" s="35" t="n">
        <f aca="false">IF(E76="休日",MAX(0,$B$6-$B$10),MAX(0,$B$5-$B$9))</f>
        <v>3.5</v>
      </c>
      <c r="G76" s="35" t="n">
        <f aca="false">G75+F76</f>
        <v>303.5</v>
      </c>
    </row>
    <row r="77" customFormat="false" ht="16.5" hidden="false" customHeight="true" outlineLevel="0" collapsed="false">
      <c r="A77" s="32" t="n">
        <f aca="false">A76+1</f>
        <v>46378</v>
      </c>
      <c r="B77" s="33" t="str">
        <f aca="false">CHOOSE(WEEKDAY(A77),"日","月","火","水","木","金","土")</f>
        <v>火</v>
      </c>
      <c r="C77" s="33" t="str">
        <f aca="false">IF(OR(WEEKDAY(A77,2)&gt;5,COUNTIF($I$16:$I$35,A77)&gt;0),"休日","平日")</f>
        <v>平日</v>
      </c>
      <c r="D77" s="34"/>
      <c r="E77" s="33" t="str">
        <f aca="false">IF(D77&lt;&gt;"",D77,C77)</f>
        <v>平日</v>
      </c>
      <c r="F77" s="35" t="n">
        <f aca="false">IF(E77="休日",MAX(0,$B$6-$B$10),MAX(0,$B$5-$B$9))</f>
        <v>3.5</v>
      </c>
      <c r="G77" s="35" t="n">
        <f aca="false">G76+F77</f>
        <v>307</v>
      </c>
    </row>
    <row r="78" customFormat="false" ht="16.5" hidden="false" customHeight="true" outlineLevel="0" collapsed="false">
      <c r="A78" s="32" t="n">
        <f aca="false">A77+1</f>
        <v>46379</v>
      </c>
      <c r="B78" s="33" t="str">
        <f aca="false">CHOOSE(WEEKDAY(A78),"日","月","火","水","木","金","土")</f>
        <v>水</v>
      </c>
      <c r="C78" s="33" t="str">
        <f aca="false">IF(OR(WEEKDAY(A78,2)&gt;5,COUNTIF($I$16:$I$35,A78)&gt;0),"休日","平日")</f>
        <v>平日</v>
      </c>
      <c r="D78" s="34"/>
      <c r="E78" s="33" t="str">
        <f aca="false">IF(D78&lt;&gt;"",D78,C78)</f>
        <v>平日</v>
      </c>
      <c r="F78" s="35" t="n">
        <f aca="false">IF(E78="休日",MAX(0,$B$6-$B$10),MAX(0,$B$5-$B$9))</f>
        <v>3.5</v>
      </c>
      <c r="G78" s="35" t="n">
        <f aca="false">G77+F78</f>
        <v>310.5</v>
      </c>
    </row>
    <row r="79" customFormat="false" ht="16.5" hidden="false" customHeight="true" outlineLevel="0" collapsed="false">
      <c r="A79" s="32" t="n">
        <f aca="false">A78+1</f>
        <v>46380</v>
      </c>
      <c r="B79" s="33" t="str">
        <f aca="false">CHOOSE(WEEKDAY(A79),"日","月","火","水","木","金","土")</f>
        <v>木</v>
      </c>
      <c r="C79" s="33" t="str">
        <f aca="false">IF(OR(WEEKDAY(A79,2)&gt;5,COUNTIF($I$16:$I$35,A79)&gt;0),"休日","平日")</f>
        <v>平日</v>
      </c>
      <c r="D79" s="34"/>
      <c r="E79" s="33" t="str">
        <f aca="false">IF(D79&lt;&gt;"",D79,C79)</f>
        <v>平日</v>
      </c>
      <c r="F79" s="35" t="n">
        <f aca="false">IF(E79="休日",MAX(0,$B$6-$B$10),MAX(0,$B$5-$B$9))</f>
        <v>3.5</v>
      </c>
      <c r="G79" s="35" t="n">
        <f aca="false">G78+F79</f>
        <v>314</v>
      </c>
    </row>
    <row r="80" customFormat="false" ht="16.5" hidden="false" customHeight="true" outlineLevel="0" collapsed="false">
      <c r="A80" s="32" t="n">
        <f aca="false">A79+1</f>
        <v>46381</v>
      </c>
      <c r="B80" s="33" t="str">
        <f aca="false">CHOOSE(WEEKDAY(A80),"日","月","火","水","木","金","土")</f>
        <v>金</v>
      </c>
      <c r="C80" s="33" t="str">
        <f aca="false">IF(OR(WEEKDAY(A80,2)&gt;5,COUNTIF($I$16:$I$35,A80)&gt;0),"休日","平日")</f>
        <v>平日</v>
      </c>
      <c r="D80" s="34"/>
      <c r="E80" s="33" t="str">
        <f aca="false">IF(D80&lt;&gt;"",D80,C80)</f>
        <v>平日</v>
      </c>
      <c r="F80" s="35" t="n">
        <f aca="false">IF(E80="休日",MAX(0,$B$6-$B$10),MAX(0,$B$5-$B$9))</f>
        <v>3.5</v>
      </c>
      <c r="G80" s="35" t="n">
        <f aca="false">G79+F80</f>
        <v>317.5</v>
      </c>
    </row>
    <row r="81" customFormat="false" ht="16.5" hidden="false" customHeight="true" outlineLevel="0" collapsed="false">
      <c r="A81" s="32" t="n">
        <f aca="false">A80+1</f>
        <v>46382</v>
      </c>
      <c r="B81" s="33" t="str">
        <f aca="false">CHOOSE(WEEKDAY(A81),"日","月","火","水","木","金","土")</f>
        <v>土</v>
      </c>
      <c r="C81" s="33" t="str">
        <f aca="false">IF(OR(WEEKDAY(A81,2)&gt;5,COUNTIF($I$16:$I$35,A81)&gt;0),"休日","平日")</f>
        <v>休日</v>
      </c>
      <c r="D81" s="34"/>
      <c r="E81" s="33" t="str">
        <f aca="false">IF(D81&lt;&gt;"",D81,C81)</f>
        <v>休日</v>
      </c>
      <c r="F81" s="35" t="n">
        <f aca="false">IF(E81="休日",MAX(0,$B$6-$B$10),MAX(0,$B$5-$B$9))</f>
        <v>8</v>
      </c>
      <c r="G81" s="35" t="n">
        <f aca="false">G80+F81</f>
        <v>325.5</v>
      </c>
    </row>
    <row r="82" customFormat="false" ht="16.5" hidden="false" customHeight="true" outlineLevel="0" collapsed="false">
      <c r="A82" s="32" t="n">
        <f aca="false">A81+1</f>
        <v>46383</v>
      </c>
      <c r="B82" s="33" t="str">
        <f aca="false">CHOOSE(WEEKDAY(A82),"日","月","火","水","木","金","土")</f>
        <v>日</v>
      </c>
      <c r="C82" s="33" t="str">
        <f aca="false">IF(OR(WEEKDAY(A82,2)&gt;5,COUNTIF($I$16:$I$35,A82)&gt;0),"休日","平日")</f>
        <v>休日</v>
      </c>
      <c r="D82" s="34"/>
      <c r="E82" s="33" t="str">
        <f aca="false">IF(D82&lt;&gt;"",D82,C82)</f>
        <v>休日</v>
      </c>
      <c r="F82" s="35" t="n">
        <f aca="false">IF(E82="休日",MAX(0,$B$6-$B$10),MAX(0,$B$5-$B$9))</f>
        <v>8</v>
      </c>
      <c r="G82" s="35" t="n">
        <f aca="false">G81+F82</f>
        <v>333.5</v>
      </c>
    </row>
    <row r="83" customFormat="false" ht="16.5" hidden="false" customHeight="true" outlineLevel="0" collapsed="false">
      <c r="A83" s="32" t="n">
        <f aca="false">A82+1</f>
        <v>46384</v>
      </c>
      <c r="B83" s="33" t="str">
        <f aca="false">CHOOSE(WEEKDAY(A83),"日","月","火","水","木","金","土")</f>
        <v>月</v>
      </c>
      <c r="C83" s="33" t="str">
        <f aca="false">IF(OR(WEEKDAY(A83,2)&gt;5,COUNTIF($I$16:$I$35,A83)&gt;0),"休日","平日")</f>
        <v>平日</v>
      </c>
      <c r="D83" s="34"/>
      <c r="E83" s="33" t="str">
        <f aca="false">IF(D83&lt;&gt;"",D83,C83)</f>
        <v>平日</v>
      </c>
      <c r="F83" s="35" t="n">
        <f aca="false">IF(E83="休日",MAX(0,$B$6-$B$10),MAX(0,$B$5-$B$9))</f>
        <v>3.5</v>
      </c>
      <c r="G83" s="35" t="n">
        <f aca="false">G82+F83</f>
        <v>337</v>
      </c>
    </row>
    <row r="84" customFormat="false" ht="16.5" hidden="false" customHeight="true" outlineLevel="0" collapsed="false">
      <c r="A84" s="32" t="n">
        <f aca="false">A83+1</f>
        <v>46385</v>
      </c>
      <c r="B84" s="33" t="str">
        <f aca="false">CHOOSE(WEEKDAY(A84),"日","月","火","水","木","金","土")</f>
        <v>火</v>
      </c>
      <c r="C84" s="33" t="str">
        <f aca="false">IF(OR(WEEKDAY(A84,2)&gt;5,COUNTIF($I$16:$I$35,A84)&gt;0),"休日","平日")</f>
        <v>平日</v>
      </c>
      <c r="D84" s="34"/>
      <c r="E84" s="33" t="str">
        <f aca="false">IF(D84&lt;&gt;"",D84,C84)</f>
        <v>平日</v>
      </c>
      <c r="F84" s="35" t="n">
        <f aca="false">IF(E84="休日",MAX(0,$B$6-$B$10),MAX(0,$B$5-$B$9))</f>
        <v>3.5</v>
      </c>
      <c r="G84" s="35" t="n">
        <f aca="false">G83+F84</f>
        <v>340.5</v>
      </c>
    </row>
    <row r="85" customFormat="false" ht="16.5" hidden="false" customHeight="true" outlineLevel="0" collapsed="false">
      <c r="A85" s="32" t="n">
        <f aca="false">A84+1</f>
        <v>46386</v>
      </c>
      <c r="B85" s="33" t="str">
        <f aca="false">CHOOSE(WEEKDAY(A85),"日","月","火","水","木","金","土")</f>
        <v>水</v>
      </c>
      <c r="C85" s="33" t="str">
        <f aca="false">IF(OR(WEEKDAY(A85,2)&gt;5,COUNTIF($I$16:$I$35,A85)&gt;0),"休日","平日")</f>
        <v>平日</v>
      </c>
      <c r="D85" s="34"/>
      <c r="E85" s="33" t="str">
        <f aca="false">IF(D85&lt;&gt;"",D85,C85)</f>
        <v>平日</v>
      </c>
      <c r="F85" s="35" t="n">
        <f aca="false">IF(E85="休日",MAX(0,$B$6-$B$10),MAX(0,$B$5-$B$9))</f>
        <v>3.5</v>
      </c>
      <c r="G85" s="35" t="n">
        <f aca="false">G84+F85</f>
        <v>344</v>
      </c>
    </row>
    <row r="86" customFormat="false" ht="16.5" hidden="false" customHeight="true" outlineLevel="0" collapsed="false">
      <c r="A86" s="32" t="n">
        <f aca="false">A85+1</f>
        <v>46387</v>
      </c>
      <c r="B86" s="33" t="str">
        <f aca="false">CHOOSE(WEEKDAY(A86),"日","月","火","水","木","金","土")</f>
        <v>木</v>
      </c>
      <c r="C86" s="33" t="str">
        <f aca="false">IF(OR(WEEKDAY(A86,2)&gt;5,COUNTIF($I$16:$I$35,A86)&gt;0),"休日","平日")</f>
        <v>平日</v>
      </c>
      <c r="D86" s="34"/>
      <c r="E86" s="33" t="str">
        <f aca="false">IF(D86&lt;&gt;"",D86,C86)</f>
        <v>平日</v>
      </c>
      <c r="F86" s="35" t="n">
        <f aca="false">IF(E86="休日",MAX(0,$B$6-$B$10),MAX(0,$B$5-$B$9))</f>
        <v>3.5</v>
      </c>
      <c r="G86" s="35" t="n">
        <f aca="false">G85+F86</f>
        <v>347.5</v>
      </c>
    </row>
    <row r="87" customFormat="false" ht="16.5" hidden="false" customHeight="true" outlineLevel="0" collapsed="false">
      <c r="A87" s="32" t="n">
        <f aca="false">A86+1</f>
        <v>46388</v>
      </c>
      <c r="B87" s="33" t="str">
        <f aca="false">CHOOSE(WEEKDAY(A87),"日","月","火","水","木","金","土")</f>
        <v>金</v>
      </c>
      <c r="C87" s="33" t="str">
        <f aca="false">IF(OR(WEEKDAY(A87,2)&gt;5,COUNTIF($I$16:$I$35,A87)&gt;0),"休日","平日")</f>
        <v>休日</v>
      </c>
      <c r="D87" s="34"/>
      <c r="E87" s="33" t="str">
        <f aca="false">IF(D87&lt;&gt;"",D87,C87)</f>
        <v>休日</v>
      </c>
      <c r="F87" s="35" t="n">
        <f aca="false">IF(E87="休日",MAX(0,$B$6-$B$10),MAX(0,$B$5-$B$9))</f>
        <v>8</v>
      </c>
      <c r="G87" s="35" t="n">
        <f aca="false">G86+F87</f>
        <v>355.5</v>
      </c>
    </row>
    <row r="88" customFormat="false" ht="16.5" hidden="false" customHeight="true" outlineLevel="0" collapsed="false">
      <c r="A88" s="32" t="n">
        <f aca="false">A87+1</f>
        <v>46389</v>
      </c>
      <c r="B88" s="33" t="str">
        <f aca="false">CHOOSE(WEEKDAY(A88),"日","月","火","水","木","金","土")</f>
        <v>土</v>
      </c>
      <c r="C88" s="33" t="str">
        <f aca="false">IF(OR(WEEKDAY(A88,2)&gt;5,COUNTIF($I$16:$I$35,A88)&gt;0),"休日","平日")</f>
        <v>休日</v>
      </c>
      <c r="D88" s="34"/>
      <c r="E88" s="33" t="str">
        <f aca="false">IF(D88&lt;&gt;"",D88,C88)</f>
        <v>休日</v>
      </c>
      <c r="F88" s="35" t="n">
        <f aca="false">IF(E88="休日",MAX(0,$B$6-$B$10),MAX(0,$B$5-$B$9))</f>
        <v>8</v>
      </c>
      <c r="G88" s="35" t="n">
        <f aca="false">G87+F88</f>
        <v>363.5</v>
      </c>
    </row>
    <row r="89" customFormat="false" ht="16.5" hidden="false" customHeight="true" outlineLevel="0" collapsed="false">
      <c r="A89" s="32" t="n">
        <f aca="false">A88+1</f>
        <v>46390</v>
      </c>
      <c r="B89" s="33" t="str">
        <f aca="false">CHOOSE(WEEKDAY(A89),"日","月","火","水","木","金","土")</f>
        <v>日</v>
      </c>
      <c r="C89" s="33" t="str">
        <f aca="false">IF(OR(WEEKDAY(A89,2)&gt;5,COUNTIF($I$16:$I$35,A89)&gt;0),"休日","平日")</f>
        <v>休日</v>
      </c>
      <c r="D89" s="34"/>
      <c r="E89" s="33" t="str">
        <f aca="false">IF(D89&lt;&gt;"",D89,C89)</f>
        <v>休日</v>
      </c>
      <c r="F89" s="35" t="n">
        <f aca="false">IF(E89="休日",MAX(0,$B$6-$B$10),MAX(0,$B$5-$B$9))</f>
        <v>8</v>
      </c>
      <c r="G89" s="35" t="n">
        <f aca="false">G88+F89</f>
        <v>371.5</v>
      </c>
    </row>
    <row r="90" customFormat="false" ht="16.5" hidden="false" customHeight="true" outlineLevel="0" collapsed="false">
      <c r="A90" s="32" t="n">
        <f aca="false">A89+1</f>
        <v>46391</v>
      </c>
      <c r="B90" s="33" t="str">
        <f aca="false">CHOOSE(WEEKDAY(A90),"日","月","火","水","木","金","土")</f>
        <v>月</v>
      </c>
      <c r="C90" s="33" t="str">
        <f aca="false">IF(OR(WEEKDAY(A90,2)&gt;5,COUNTIF($I$16:$I$35,A90)&gt;0),"休日","平日")</f>
        <v>平日</v>
      </c>
      <c r="D90" s="34"/>
      <c r="E90" s="33" t="str">
        <f aca="false">IF(D90&lt;&gt;"",D90,C90)</f>
        <v>平日</v>
      </c>
      <c r="F90" s="35" t="n">
        <f aca="false">IF(E90="休日",MAX(0,$B$6-$B$10),MAX(0,$B$5-$B$9))</f>
        <v>3.5</v>
      </c>
      <c r="G90" s="35" t="n">
        <f aca="false">G89+F90</f>
        <v>375</v>
      </c>
    </row>
    <row r="91" customFormat="false" ht="16.5" hidden="false" customHeight="true" outlineLevel="0" collapsed="false">
      <c r="A91" s="32" t="n">
        <f aca="false">A90+1</f>
        <v>46392</v>
      </c>
      <c r="B91" s="33" t="str">
        <f aca="false">CHOOSE(WEEKDAY(A91),"日","月","火","水","木","金","土")</f>
        <v>火</v>
      </c>
      <c r="C91" s="33" t="str">
        <f aca="false">IF(OR(WEEKDAY(A91,2)&gt;5,COUNTIF($I$16:$I$35,A91)&gt;0),"休日","平日")</f>
        <v>平日</v>
      </c>
      <c r="D91" s="34"/>
      <c r="E91" s="33" t="str">
        <f aca="false">IF(D91&lt;&gt;"",D91,C91)</f>
        <v>平日</v>
      </c>
      <c r="F91" s="35" t="n">
        <f aca="false">IF(E91="休日",MAX(0,$B$6-$B$10),MAX(0,$B$5-$B$9))</f>
        <v>3.5</v>
      </c>
      <c r="G91" s="35" t="n">
        <f aca="false">G90+F91</f>
        <v>378.5</v>
      </c>
    </row>
    <row r="92" customFormat="false" ht="16.5" hidden="false" customHeight="true" outlineLevel="0" collapsed="false">
      <c r="A92" s="32" t="n">
        <f aca="false">A91+1</f>
        <v>46393</v>
      </c>
      <c r="B92" s="33" t="str">
        <f aca="false">CHOOSE(WEEKDAY(A92),"日","月","火","水","木","金","土")</f>
        <v>水</v>
      </c>
      <c r="C92" s="33" t="str">
        <f aca="false">IF(OR(WEEKDAY(A92,2)&gt;5,COUNTIF($I$16:$I$35,A92)&gt;0),"休日","平日")</f>
        <v>平日</v>
      </c>
      <c r="D92" s="34"/>
      <c r="E92" s="33" t="str">
        <f aca="false">IF(D92&lt;&gt;"",D92,C92)</f>
        <v>平日</v>
      </c>
      <c r="F92" s="35" t="n">
        <f aca="false">IF(E92="休日",MAX(0,$B$6-$B$10),MAX(0,$B$5-$B$9))</f>
        <v>3.5</v>
      </c>
      <c r="G92" s="35" t="n">
        <f aca="false">G91+F92</f>
        <v>382</v>
      </c>
    </row>
    <row r="93" customFormat="false" ht="16.5" hidden="false" customHeight="true" outlineLevel="0" collapsed="false">
      <c r="A93" s="32" t="n">
        <f aca="false">A92+1</f>
        <v>46394</v>
      </c>
      <c r="B93" s="33" t="str">
        <f aca="false">CHOOSE(WEEKDAY(A93),"日","月","火","水","木","金","土")</f>
        <v>木</v>
      </c>
      <c r="C93" s="33" t="str">
        <f aca="false">IF(OR(WEEKDAY(A93,2)&gt;5,COUNTIF($I$16:$I$35,A93)&gt;0),"休日","平日")</f>
        <v>平日</v>
      </c>
      <c r="D93" s="34"/>
      <c r="E93" s="33" t="str">
        <f aca="false">IF(D93&lt;&gt;"",D93,C93)</f>
        <v>平日</v>
      </c>
      <c r="F93" s="35" t="n">
        <f aca="false">IF(E93="休日",MAX(0,$B$6-$B$10),MAX(0,$B$5-$B$9))</f>
        <v>3.5</v>
      </c>
      <c r="G93" s="35" t="n">
        <f aca="false">G92+F93</f>
        <v>385.5</v>
      </c>
    </row>
    <row r="94" customFormat="false" ht="16.5" hidden="false" customHeight="true" outlineLevel="0" collapsed="false">
      <c r="A94" s="32" t="n">
        <f aca="false">A93+1</f>
        <v>46395</v>
      </c>
      <c r="B94" s="33" t="str">
        <f aca="false">CHOOSE(WEEKDAY(A94),"日","月","火","水","木","金","土")</f>
        <v>金</v>
      </c>
      <c r="C94" s="33" t="str">
        <f aca="false">IF(OR(WEEKDAY(A94,2)&gt;5,COUNTIF($I$16:$I$35,A94)&gt;0),"休日","平日")</f>
        <v>平日</v>
      </c>
      <c r="D94" s="34"/>
      <c r="E94" s="33" t="str">
        <f aca="false">IF(D94&lt;&gt;"",D94,C94)</f>
        <v>平日</v>
      </c>
      <c r="F94" s="35" t="n">
        <f aca="false">IF(E94="休日",MAX(0,$B$6-$B$10),MAX(0,$B$5-$B$9))</f>
        <v>3.5</v>
      </c>
      <c r="G94" s="35" t="n">
        <f aca="false">G93+F94</f>
        <v>389</v>
      </c>
    </row>
    <row r="95" customFormat="false" ht="16.5" hidden="false" customHeight="true" outlineLevel="0" collapsed="false">
      <c r="A95" s="32" t="n">
        <f aca="false">A94+1</f>
        <v>46396</v>
      </c>
      <c r="B95" s="33" t="str">
        <f aca="false">CHOOSE(WEEKDAY(A95),"日","月","火","水","木","金","土")</f>
        <v>土</v>
      </c>
      <c r="C95" s="33" t="str">
        <f aca="false">IF(OR(WEEKDAY(A95,2)&gt;5,COUNTIF($I$16:$I$35,A95)&gt;0),"休日","平日")</f>
        <v>休日</v>
      </c>
      <c r="D95" s="34"/>
      <c r="E95" s="33" t="str">
        <f aca="false">IF(D95&lt;&gt;"",D95,C95)</f>
        <v>休日</v>
      </c>
      <c r="F95" s="35" t="n">
        <f aca="false">IF(E95="休日",MAX(0,$B$6-$B$10),MAX(0,$B$5-$B$9))</f>
        <v>8</v>
      </c>
      <c r="G95" s="35" t="n">
        <f aca="false">G94+F95</f>
        <v>397</v>
      </c>
    </row>
    <row r="96" customFormat="false" ht="16.5" hidden="false" customHeight="true" outlineLevel="0" collapsed="false">
      <c r="A96" s="32" t="n">
        <f aca="false">A95+1</f>
        <v>46397</v>
      </c>
      <c r="B96" s="33" t="str">
        <f aca="false">CHOOSE(WEEKDAY(A96),"日","月","火","水","木","金","土")</f>
        <v>日</v>
      </c>
      <c r="C96" s="33" t="str">
        <f aca="false">IF(OR(WEEKDAY(A96,2)&gt;5,COUNTIF($I$16:$I$35,A96)&gt;0),"休日","平日")</f>
        <v>休日</v>
      </c>
      <c r="D96" s="34"/>
      <c r="E96" s="33" t="str">
        <f aca="false">IF(D96&lt;&gt;"",D96,C96)</f>
        <v>休日</v>
      </c>
      <c r="F96" s="35" t="n">
        <f aca="false">IF(E96="休日",MAX(0,$B$6-$B$10),MAX(0,$B$5-$B$9))</f>
        <v>8</v>
      </c>
      <c r="G96" s="35" t="n">
        <f aca="false">G95+F96</f>
        <v>405</v>
      </c>
    </row>
    <row r="97" customFormat="false" ht="16.5" hidden="false" customHeight="true" outlineLevel="0" collapsed="false">
      <c r="A97" s="32" t="n">
        <f aca="false">A96+1</f>
        <v>46398</v>
      </c>
      <c r="B97" s="33" t="str">
        <f aca="false">CHOOSE(WEEKDAY(A97),"日","月","火","水","木","金","土")</f>
        <v>月</v>
      </c>
      <c r="C97" s="33" t="str">
        <f aca="false">IF(OR(WEEKDAY(A97,2)&gt;5,COUNTIF($I$16:$I$35,A97)&gt;0),"休日","平日")</f>
        <v>休日</v>
      </c>
      <c r="D97" s="34"/>
      <c r="E97" s="33" t="str">
        <f aca="false">IF(D97&lt;&gt;"",D97,C97)</f>
        <v>休日</v>
      </c>
      <c r="F97" s="35" t="n">
        <f aca="false">IF(E97="休日",MAX(0,$B$6-$B$10),MAX(0,$B$5-$B$9))</f>
        <v>8</v>
      </c>
      <c r="G97" s="35" t="n">
        <f aca="false">G96+F97</f>
        <v>413</v>
      </c>
    </row>
    <row r="98" customFormat="false" ht="16.5" hidden="false" customHeight="true" outlineLevel="0" collapsed="false">
      <c r="A98" s="32" t="n">
        <f aca="false">A97+1</f>
        <v>46399</v>
      </c>
      <c r="B98" s="33" t="str">
        <f aca="false">CHOOSE(WEEKDAY(A98),"日","月","火","水","木","金","土")</f>
        <v>火</v>
      </c>
      <c r="C98" s="33" t="str">
        <f aca="false">IF(OR(WEEKDAY(A98,2)&gt;5,COUNTIF($I$16:$I$35,A98)&gt;0),"休日","平日")</f>
        <v>平日</v>
      </c>
      <c r="D98" s="34"/>
      <c r="E98" s="33" t="str">
        <f aca="false">IF(D98&lt;&gt;"",D98,C98)</f>
        <v>平日</v>
      </c>
      <c r="F98" s="35" t="n">
        <f aca="false">IF(E98="休日",MAX(0,$B$6-$B$10),MAX(0,$B$5-$B$9))</f>
        <v>3.5</v>
      </c>
      <c r="G98" s="35" t="n">
        <f aca="false">G97+F98</f>
        <v>416.5</v>
      </c>
    </row>
    <row r="99" customFormat="false" ht="16.5" hidden="false" customHeight="true" outlineLevel="0" collapsed="false">
      <c r="A99" s="32" t="n">
        <f aca="false">A98+1</f>
        <v>46400</v>
      </c>
      <c r="B99" s="33" t="str">
        <f aca="false">CHOOSE(WEEKDAY(A99),"日","月","火","水","木","金","土")</f>
        <v>水</v>
      </c>
      <c r="C99" s="33" t="str">
        <f aca="false">IF(OR(WEEKDAY(A99,2)&gt;5,COUNTIF($I$16:$I$35,A99)&gt;0),"休日","平日")</f>
        <v>平日</v>
      </c>
      <c r="D99" s="34"/>
      <c r="E99" s="33" t="str">
        <f aca="false">IF(D99&lt;&gt;"",D99,C99)</f>
        <v>平日</v>
      </c>
      <c r="F99" s="35" t="n">
        <f aca="false">IF(E99="休日",MAX(0,$B$6-$B$10),MAX(0,$B$5-$B$9))</f>
        <v>3.5</v>
      </c>
      <c r="G99" s="35" t="n">
        <f aca="false">G98+F99</f>
        <v>420</v>
      </c>
    </row>
    <row r="100" customFormat="false" ht="16.5" hidden="false" customHeight="true" outlineLevel="0" collapsed="false">
      <c r="A100" s="32" t="n">
        <f aca="false">A99+1</f>
        <v>46401</v>
      </c>
      <c r="B100" s="33" t="str">
        <f aca="false">CHOOSE(WEEKDAY(A100),"日","月","火","水","木","金","土")</f>
        <v>木</v>
      </c>
      <c r="C100" s="33" t="str">
        <f aca="false">IF(OR(WEEKDAY(A100,2)&gt;5,COUNTIF($I$16:$I$35,A100)&gt;0),"休日","平日")</f>
        <v>平日</v>
      </c>
      <c r="D100" s="34"/>
      <c r="E100" s="33" t="str">
        <f aca="false">IF(D100&lt;&gt;"",D100,C100)</f>
        <v>平日</v>
      </c>
      <c r="F100" s="35" t="n">
        <f aca="false">IF(E100="休日",MAX(0,$B$6-$B$10),MAX(0,$B$5-$B$9))</f>
        <v>3.5</v>
      </c>
      <c r="G100" s="35" t="n">
        <f aca="false">G99+F100</f>
        <v>423.5</v>
      </c>
    </row>
    <row r="101" customFormat="false" ht="16.5" hidden="false" customHeight="true" outlineLevel="0" collapsed="false">
      <c r="A101" s="32" t="n">
        <f aca="false">A100+1</f>
        <v>46402</v>
      </c>
      <c r="B101" s="33" t="str">
        <f aca="false">CHOOSE(WEEKDAY(A101),"日","月","火","水","木","金","土")</f>
        <v>金</v>
      </c>
      <c r="C101" s="33" t="str">
        <f aca="false">IF(OR(WEEKDAY(A101,2)&gt;5,COUNTIF($I$16:$I$35,A101)&gt;0),"休日","平日")</f>
        <v>平日</v>
      </c>
      <c r="D101" s="34"/>
      <c r="E101" s="33" t="str">
        <f aca="false">IF(D101&lt;&gt;"",D101,C101)</f>
        <v>平日</v>
      </c>
      <c r="F101" s="35" t="n">
        <f aca="false">IF(E101="休日",MAX(0,$B$6-$B$10),MAX(0,$B$5-$B$9))</f>
        <v>3.5</v>
      </c>
      <c r="G101" s="35" t="n">
        <f aca="false">G100+F101</f>
        <v>427</v>
      </c>
    </row>
    <row r="102" customFormat="false" ht="16.5" hidden="false" customHeight="true" outlineLevel="0" collapsed="false">
      <c r="A102" s="32" t="n">
        <f aca="false">A101+1</f>
        <v>46403</v>
      </c>
      <c r="B102" s="33" t="str">
        <f aca="false">CHOOSE(WEEKDAY(A102),"日","月","火","水","木","金","土")</f>
        <v>土</v>
      </c>
      <c r="C102" s="33" t="str">
        <f aca="false">IF(OR(WEEKDAY(A102,2)&gt;5,COUNTIF($I$16:$I$35,A102)&gt;0),"休日","平日")</f>
        <v>休日</v>
      </c>
      <c r="D102" s="34"/>
      <c r="E102" s="33" t="str">
        <f aca="false">IF(D102&lt;&gt;"",D102,C102)</f>
        <v>休日</v>
      </c>
      <c r="F102" s="35" t="n">
        <f aca="false">IF(E102="休日",MAX(0,$B$6-$B$10),MAX(0,$B$5-$B$9))</f>
        <v>8</v>
      </c>
      <c r="G102" s="35" t="n">
        <f aca="false">G101+F102</f>
        <v>435</v>
      </c>
    </row>
    <row r="103" customFormat="false" ht="16.5" hidden="false" customHeight="true" outlineLevel="0" collapsed="false">
      <c r="A103" s="32" t="n">
        <f aca="false">A102+1</f>
        <v>46404</v>
      </c>
      <c r="B103" s="33" t="str">
        <f aca="false">CHOOSE(WEEKDAY(A103),"日","月","火","水","木","金","土")</f>
        <v>日</v>
      </c>
      <c r="C103" s="33" t="str">
        <f aca="false">IF(OR(WEEKDAY(A103,2)&gt;5,COUNTIF($I$16:$I$35,A103)&gt;0),"休日","平日")</f>
        <v>休日</v>
      </c>
      <c r="D103" s="34"/>
      <c r="E103" s="33" t="str">
        <f aca="false">IF(D103&lt;&gt;"",D103,C103)</f>
        <v>休日</v>
      </c>
      <c r="F103" s="35" t="n">
        <f aca="false">IF(E103="休日",MAX(0,$B$6-$B$10),MAX(0,$B$5-$B$9))</f>
        <v>8</v>
      </c>
      <c r="G103" s="35" t="n">
        <f aca="false">G102+F103</f>
        <v>443</v>
      </c>
    </row>
    <row r="104" customFormat="false" ht="16.5" hidden="false" customHeight="true" outlineLevel="0" collapsed="false">
      <c r="A104" s="32" t="n">
        <f aca="false">A103+1</f>
        <v>46405</v>
      </c>
      <c r="B104" s="33" t="str">
        <f aca="false">CHOOSE(WEEKDAY(A104),"日","月","火","水","木","金","土")</f>
        <v>月</v>
      </c>
      <c r="C104" s="33" t="str">
        <f aca="false">IF(OR(WEEKDAY(A104,2)&gt;5,COUNTIF($I$16:$I$35,A104)&gt;0),"休日","平日")</f>
        <v>平日</v>
      </c>
      <c r="D104" s="34"/>
      <c r="E104" s="33" t="str">
        <f aca="false">IF(D104&lt;&gt;"",D104,C104)</f>
        <v>平日</v>
      </c>
      <c r="F104" s="35" t="n">
        <f aca="false">IF(E104="休日",MAX(0,$B$6-$B$10),MAX(0,$B$5-$B$9))</f>
        <v>3.5</v>
      </c>
      <c r="G104" s="35" t="n">
        <f aca="false">G103+F104</f>
        <v>446.5</v>
      </c>
    </row>
    <row r="105" customFormat="false" ht="16.5" hidden="false" customHeight="true" outlineLevel="0" collapsed="false">
      <c r="A105" s="32" t="n">
        <f aca="false">A104+1</f>
        <v>46406</v>
      </c>
      <c r="B105" s="33" t="str">
        <f aca="false">CHOOSE(WEEKDAY(A105),"日","月","火","水","木","金","土")</f>
        <v>火</v>
      </c>
      <c r="C105" s="33" t="str">
        <f aca="false">IF(OR(WEEKDAY(A105,2)&gt;5,COUNTIF($I$16:$I$35,A105)&gt;0),"休日","平日")</f>
        <v>平日</v>
      </c>
      <c r="D105" s="34"/>
      <c r="E105" s="33" t="str">
        <f aca="false">IF(D105&lt;&gt;"",D105,C105)</f>
        <v>平日</v>
      </c>
      <c r="F105" s="35" t="n">
        <f aca="false">IF(E105="休日",MAX(0,$B$6-$B$10),MAX(0,$B$5-$B$9))</f>
        <v>3.5</v>
      </c>
      <c r="G105" s="35" t="n">
        <f aca="false">G104+F105</f>
        <v>450</v>
      </c>
    </row>
    <row r="106" customFormat="false" ht="16.5" hidden="false" customHeight="true" outlineLevel="0" collapsed="false">
      <c r="A106" s="32" t="n">
        <f aca="false">A105+1</f>
        <v>46407</v>
      </c>
      <c r="B106" s="33" t="str">
        <f aca="false">CHOOSE(WEEKDAY(A106),"日","月","火","水","木","金","土")</f>
        <v>水</v>
      </c>
      <c r="C106" s="33" t="str">
        <f aca="false">IF(OR(WEEKDAY(A106,2)&gt;5,COUNTIF($I$16:$I$35,A106)&gt;0),"休日","平日")</f>
        <v>平日</v>
      </c>
      <c r="D106" s="34"/>
      <c r="E106" s="33" t="str">
        <f aca="false">IF(D106&lt;&gt;"",D106,C106)</f>
        <v>平日</v>
      </c>
      <c r="F106" s="35" t="n">
        <f aca="false">IF(E106="休日",MAX(0,$B$6-$B$10),MAX(0,$B$5-$B$9))</f>
        <v>3.5</v>
      </c>
      <c r="G106" s="35" t="n">
        <f aca="false">G105+F106</f>
        <v>453.5</v>
      </c>
    </row>
    <row r="107" customFormat="false" ht="16.5" hidden="false" customHeight="true" outlineLevel="0" collapsed="false">
      <c r="A107" s="32" t="n">
        <f aca="false">A106+1</f>
        <v>46408</v>
      </c>
      <c r="B107" s="33" t="str">
        <f aca="false">CHOOSE(WEEKDAY(A107),"日","月","火","水","木","金","土")</f>
        <v>木</v>
      </c>
      <c r="C107" s="33" t="str">
        <f aca="false">IF(OR(WEEKDAY(A107,2)&gt;5,COUNTIF($I$16:$I$35,A107)&gt;0),"休日","平日")</f>
        <v>平日</v>
      </c>
      <c r="D107" s="34"/>
      <c r="E107" s="33" t="str">
        <f aca="false">IF(D107&lt;&gt;"",D107,C107)</f>
        <v>平日</v>
      </c>
      <c r="F107" s="35" t="n">
        <f aca="false">IF(E107="休日",MAX(0,$B$6-$B$10),MAX(0,$B$5-$B$9))</f>
        <v>3.5</v>
      </c>
      <c r="G107" s="35" t="n">
        <f aca="false">G106+F107</f>
        <v>457</v>
      </c>
    </row>
    <row r="108" customFormat="false" ht="16.5" hidden="false" customHeight="true" outlineLevel="0" collapsed="false">
      <c r="A108" s="32" t="n">
        <f aca="false">A107+1</f>
        <v>46409</v>
      </c>
      <c r="B108" s="33" t="str">
        <f aca="false">CHOOSE(WEEKDAY(A108),"日","月","火","水","木","金","土")</f>
        <v>金</v>
      </c>
      <c r="C108" s="33" t="str">
        <f aca="false">IF(OR(WEEKDAY(A108,2)&gt;5,COUNTIF($I$16:$I$35,A108)&gt;0),"休日","平日")</f>
        <v>平日</v>
      </c>
      <c r="D108" s="34"/>
      <c r="E108" s="33" t="str">
        <f aca="false">IF(D108&lt;&gt;"",D108,C108)</f>
        <v>平日</v>
      </c>
      <c r="F108" s="35" t="n">
        <f aca="false">IF(E108="休日",MAX(0,$B$6-$B$10),MAX(0,$B$5-$B$9))</f>
        <v>3.5</v>
      </c>
      <c r="G108" s="35" t="n">
        <f aca="false">G107+F108</f>
        <v>460.5</v>
      </c>
    </row>
    <row r="109" customFormat="false" ht="16.5" hidden="false" customHeight="true" outlineLevel="0" collapsed="false">
      <c r="A109" s="32" t="n">
        <f aca="false">A108+1</f>
        <v>46410</v>
      </c>
      <c r="B109" s="33" t="str">
        <f aca="false">CHOOSE(WEEKDAY(A109),"日","月","火","水","木","金","土")</f>
        <v>土</v>
      </c>
      <c r="C109" s="33" t="str">
        <f aca="false">IF(OR(WEEKDAY(A109,2)&gt;5,COUNTIF($I$16:$I$35,A109)&gt;0),"休日","平日")</f>
        <v>休日</v>
      </c>
      <c r="D109" s="34"/>
      <c r="E109" s="33" t="str">
        <f aca="false">IF(D109&lt;&gt;"",D109,C109)</f>
        <v>休日</v>
      </c>
      <c r="F109" s="35" t="n">
        <f aca="false">IF(E109="休日",MAX(0,$B$6-$B$10),MAX(0,$B$5-$B$9))</f>
        <v>8</v>
      </c>
      <c r="G109" s="35" t="n">
        <f aca="false">G108+F109</f>
        <v>468.5</v>
      </c>
    </row>
    <row r="110" customFormat="false" ht="16.5" hidden="false" customHeight="true" outlineLevel="0" collapsed="false">
      <c r="A110" s="32" t="n">
        <f aca="false">A109+1</f>
        <v>46411</v>
      </c>
      <c r="B110" s="33" t="str">
        <f aca="false">CHOOSE(WEEKDAY(A110),"日","月","火","水","木","金","土")</f>
        <v>日</v>
      </c>
      <c r="C110" s="33" t="str">
        <f aca="false">IF(OR(WEEKDAY(A110,2)&gt;5,COUNTIF($I$16:$I$35,A110)&gt;0),"休日","平日")</f>
        <v>休日</v>
      </c>
      <c r="D110" s="34"/>
      <c r="E110" s="33" t="str">
        <f aca="false">IF(D110&lt;&gt;"",D110,C110)</f>
        <v>休日</v>
      </c>
      <c r="F110" s="35" t="n">
        <f aca="false">IF(E110="休日",MAX(0,$B$6-$B$10),MAX(0,$B$5-$B$9))</f>
        <v>8</v>
      </c>
      <c r="G110" s="35" t="n">
        <f aca="false">G109+F110</f>
        <v>476.5</v>
      </c>
    </row>
    <row r="111" customFormat="false" ht="16.5" hidden="false" customHeight="true" outlineLevel="0" collapsed="false">
      <c r="A111" s="32" t="n">
        <f aca="false">A110+1</f>
        <v>46412</v>
      </c>
      <c r="B111" s="33" t="str">
        <f aca="false">CHOOSE(WEEKDAY(A111),"日","月","火","水","木","金","土")</f>
        <v>月</v>
      </c>
      <c r="C111" s="33" t="str">
        <f aca="false">IF(OR(WEEKDAY(A111,2)&gt;5,COUNTIF($I$16:$I$35,A111)&gt;0),"休日","平日")</f>
        <v>平日</v>
      </c>
      <c r="D111" s="34"/>
      <c r="E111" s="33" t="str">
        <f aca="false">IF(D111&lt;&gt;"",D111,C111)</f>
        <v>平日</v>
      </c>
      <c r="F111" s="35" t="n">
        <f aca="false">IF(E111="休日",MAX(0,$B$6-$B$10),MAX(0,$B$5-$B$9))</f>
        <v>3.5</v>
      </c>
      <c r="G111" s="35" t="n">
        <f aca="false">G110+F111</f>
        <v>480</v>
      </c>
    </row>
    <row r="112" customFormat="false" ht="16.5" hidden="false" customHeight="true" outlineLevel="0" collapsed="false">
      <c r="A112" s="32" t="n">
        <f aca="false">A111+1</f>
        <v>46413</v>
      </c>
      <c r="B112" s="33" t="str">
        <f aca="false">CHOOSE(WEEKDAY(A112),"日","月","火","水","木","金","土")</f>
        <v>火</v>
      </c>
      <c r="C112" s="33" t="str">
        <f aca="false">IF(OR(WEEKDAY(A112,2)&gt;5,COUNTIF($I$16:$I$35,A112)&gt;0),"休日","平日")</f>
        <v>平日</v>
      </c>
      <c r="D112" s="34"/>
      <c r="E112" s="33" t="str">
        <f aca="false">IF(D112&lt;&gt;"",D112,C112)</f>
        <v>平日</v>
      </c>
      <c r="F112" s="35" t="n">
        <f aca="false">IF(E112="休日",MAX(0,$B$6-$B$10),MAX(0,$B$5-$B$9))</f>
        <v>3.5</v>
      </c>
      <c r="G112" s="35" t="n">
        <f aca="false">G111+F112</f>
        <v>483.5</v>
      </c>
    </row>
    <row r="113" customFormat="false" ht="16.5" hidden="false" customHeight="true" outlineLevel="0" collapsed="false">
      <c r="A113" s="32" t="n">
        <f aca="false">A112+1</f>
        <v>46414</v>
      </c>
      <c r="B113" s="33" t="str">
        <f aca="false">CHOOSE(WEEKDAY(A113),"日","月","火","水","木","金","土")</f>
        <v>水</v>
      </c>
      <c r="C113" s="33" t="str">
        <f aca="false">IF(OR(WEEKDAY(A113,2)&gt;5,COUNTIF($I$16:$I$35,A113)&gt;0),"休日","平日")</f>
        <v>平日</v>
      </c>
      <c r="D113" s="34"/>
      <c r="E113" s="33" t="str">
        <f aca="false">IF(D113&lt;&gt;"",D113,C113)</f>
        <v>平日</v>
      </c>
      <c r="F113" s="35" t="n">
        <f aca="false">IF(E113="休日",MAX(0,$B$6-$B$10),MAX(0,$B$5-$B$9))</f>
        <v>3.5</v>
      </c>
      <c r="G113" s="35" t="n">
        <f aca="false">G112+F113</f>
        <v>487</v>
      </c>
    </row>
    <row r="114" customFormat="false" ht="16.5" hidden="false" customHeight="true" outlineLevel="0" collapsed="false">
      <c r="A114" s="32" t="n">
        <f aca="false">A113+1</f>
        <v>46415</v>
      </c>
      <c r="B114" s="33" t="str">
        <f aca="false">CHOOSE(WEEKDAY(A114),"日","月","火","水","木","金","土")</f>
        <v>木</v>
      </c>
      <c r="C114" s="33" t="str">
        <f aca="false">IF(OR(WEEKDAY(A114,2)&gt;5,COUNTIF($I$16:$I$35,A114)&gt;0),"休日","平日")</f>
        <v>平日</v>
      </c>
      <c r="D114" s="34"/>
      <c r="E114" s="33" t="str">
        <f aca="false">IF(D114&lt;&gt;"",D114,C114)</f>
        <v>平日</v>
      </c>
      <c r="F114" s="35" t="n">
        <f aca="false">IF(E114="休日",MAX(0,$B$6-$B$10),MAX(0,$B$5-$B$9))</f>
        <v>3.5</v>
      </c>
      <c r="G114" s="35" t="n">
        <f aca="false">G113+F114</f>
        <v>490.5</v>
      </c>
    </row>
    <row r="115" customFormat="false" ht="16.5" hidden="false" customHeight="true" outlineLevel="0" collapsed="false">
      <c r="A115" s="32" t="n">
        <f aca="false">A114+1</f>
        <v>46416</v>
      </c>
      <c r="B115" s="33" t="str">
        <f aca="false">CHOOSE(WEEKDAY(A115),"日","月","火","水","木","金","土")</f>
        <v>金</v>
      </c>
      <c r="C115" s="33" t="str">
        <f aca="false">IF(OR(WEEKDAY(A115,2)&gt;5,COUNTIF($I$16:$I$35,A115)&gt;0),"休日","平日")</f>
        <v>平日</v>
      </c>
      <c r="D115" s="34"/>
      <c r="E115" s="33" t="str">
        <f aca="false">IF(D115&lt;&gt;"",D115,C115)</f>
        <v>平日</v>
      </c>
      <c r="F115" s="35" t="n">
        <f aca="false">IF(E115="休日",MAX(0,$B$6-$B$10),MAX(0,$B$5-$B$9))</f>
        <v>3.5</v>
      </c>
      <c r="G115" s="35" t="n">
        <f aca="false">G114+F115</f>
        <v>494</v>
      </c>
    </row>
    <row r="116" customFormat="false" ht="16.5" hidden="false" customHeight="true" outlineLevel="0" collapsed="false">
      <c r="A116" s="32" t="n">
        <f aca="false">A115+1</f>
        <v>46417</v>
      </c>
      <c r="B116" s="33" t="str">
        <f aca="false">CHOOSE(WEEKDAY(A116),"日","月","火","水","木","金","土")</f>
        <v>土</v>
      </c>
      <c r="C116" s="33" t="str">
        <f aca="false">IF(OR(WEEKDAY(A116,2)&gt;5,COUNTIF($I$16:$I$35,A116)&gt;0),"休日","平日")</f>
        <v>休日</v>
      </c>
      <c r="D116" s="34"/>
      <c r="E116" s="33" t="str">
        <f aca="false">IF(D116&lt;&gt;"",D116,C116)</f>
        <v>休日</v>
      </c>
      <c r="F116" s="35" t="n">
        <f aca="false">IF(E116="休日",MAX(0,$B$6-$B$10),MAX(0,$B$5-$B$9))</f>
        <v>8</v>
      </c>
      <c r="G116" s="35" t="n">
        <f aca="false">G115+F116</f>
        <v>502</v>
      </c>
    </row>
    <row r="117" customFormat="false" ht="16.5" hidden="false" customHeight="true" outlineLevel="0" collapsed="false">
      <c r="A117" s="32" t="n">
        <f aca="false">A116+1</f>
        <v>46418</v>
      </c>
      <c r="B117" s="33" t="str">
        <f aca="false">CHOOSE(WEEKDAY(A117),"日","月","火","水","木","金","土")</f>
        <v>日</v>
      </c>
      <c r="C117" s="33" t="str">
        <f aca="false">IF(OR(WEEKDAY(A117,2)&gt;5,COUNTIF($I$16:$I$35,A117)&gt;0),"休日","平日")</f>
        <v>休日</v>
      </c>
      <c r="D117" s="34"/>
      <c r="E117" s="33" t="str">
        <f aca="false">IF(D117&lt;&gt;"",D117,C117)</f>
        <v>休日</v>
      </c>
      <c r="F117" s="35" t="n">
        <f aca="false">IF(E117="休日",MAX(0,$B$6-$B$10),MAX(0,$B$5-$B$9))</f>
        <v>8</v>
      </c>
      <c r="G117" s="35" t="n">
        <f aca="false">G116+F117</f>
        <v>510</v>
      </c>
    </row>
    <row r="118" customFormat="false" ht="16.5" hidden="false" customHeight="true" outlineLevel="0" collapsed="false">
      <c r="A118" s="32" t="n">
        <f aca="false">A117+1</f>
        <v>46419</v>
      </c>
      <c r="B118" s="33" t="str">
        <f aca="false">CHOOSE(WEEKDAY(A118),"日","月","火","水","木","金","土")</f>
        <v>月</v>
      </c>
      <c r="C118" s="33" t="str">
        <f aca="false">IF(OR(WEEKDAY(A118,2)&gt;5,COUNTIF($I$16:$I$35,A118)&gt;0),"休日","平日")</f>
        <v>平日</v>
      </c>
      <c r="D118" s="34"/>
      <c r="E118" s="33" t="str">
        <f aca="false">IF(D118&lt;&gt;"",D118,C118)</f>
        <v>平日</v>
      </c>
      <c r="F118" s="35" t="n">
        <f aca="false">IF(E118="休日",MAX(0,$B$6-$B$10),MAX(0,$B$5-$B$9))</f>
        <v>3.5</v>
      </c>
      <c r="G118" s="35" t="n">
        <f aca="false">G117+F118</f>
        <v>513.5</v>
      </c>
    </row>
    <row r="119" customFormat="false" ht="16.5" hidden="false" customHeight="true" outlineLevel="0" collapsed="false">
      <c r="A119" s="32" t="n">
        <f aca="false">A118+1</f>
        <v>46420</v>
      </c>
      <c r="B119" s="33" t="str">
        <f aca="false">CHOOSE(WEEKDAY(A119),"日","月","火","水","木","金","土")</f>
        <v>火</v>
      </c>
      <c r="C119" s="33" t="str">
        <f aca="false">IF(OR(WEEKDAY(A119,2)&gt;5,COUNTIF($I$16:$I$35,A119)&gt;0),"休日","平日")</f>
        <v>平日</v>
      </c>
      <c r="D119" s="34"/>
      <c r="E119" s="33" t="str">
        <f aca="false">IF(D119&lt;&gt;"",D119,C119)</f>
        <v>平日</v>
      </c>
      <c r="F119" s="35" t="n">
        <f aca="false">IF(E119="休日",MAX(0,$B$6-$B$10),MAX(0,$B$5-$B$9))</f>
        <v>3.5</v>
      </c>
      <c r="G119" s="35" t="n">
        <f aca="false">G118+F119</f>
        <v>517</v>
      </c>
    </row>
    <row r="120" customFormat="false" ht="16.5" hidden="false" customHeight="true" outlineLevel="0" collapsed="false">
      <c r="A120" s="32" t="n">
        <f aca="false">A119+1</f>
        <v>46421</v>
      </c>
      <c r="B120" s="33" t="str">
        <f aca="false">CHOOSE(WEEKDAY(A120),"日","月","火","水","木","金","土")</f>
        <v>水</v>
      </c>
      <c r="C120" s="33" t="str">
        <f aca="false">IF(OR(WEEKDAY(A120,2)&gt;5,COUNTIF($I$16:$I$35,A120)&gt;0),"休日","平日")</f>
        <v>平日</v>
      </c>
      <c r="D120" s="34"/>
      <c r="E120" s="33" t="str">
        <f aca="false">IF(D120&lt;&gt;"",D120,C120)</f>
        <v>平日</v>
      </c>
      <c r="F120" s="35" t="n">
        <f aca="false">IF(E120="休日",MAX(0,$B$6-$B$10),MAX(0,$B$5-$B$9))</f>
        <v>3.5</v>
      </c>
      <c r="G120" s="35" t="n">
        <f aca="false">G119+F120</f>
        <v>520.5</v>
      </c>
    </row>
    <row r="121" customFormat="false" ht="16.5" hidden="false" customHeight="true" outlineLevel="0" collapsed="false">
      <c r="A121" s="32" t="n">
        <f aca="false">A120+1</f>
        <v>46422</v>
      </c>
      <c r="B121" s="33" t="str">
        <f aca="false">CHOOSE(WEEKDAY(A121),"日","月","火","水","木","金","土")</f>
        <v>木</v>
      </c>
      <c r="C121" s="33" t="str">
        <f aca="false">IF(OR(WEEKDAY(A121,2)&gt;5,COUNTIF($I$16:$I$35,A121)&gt;0),"休日","平日")</f>
        <v>平日</v>
      </c>
      <c r="D121" s="34"/>
      <c r="E121" s="33" t="str">
        <f aca="false">IF(D121&lt;&gt;"",D121,C121)</f>
        <v>平日</v>
      </c>
      <c r="F121" s="35" t="n">
        <f aca="false">IF(E121="休日",MAX(0,$B$6-$B$10),MAX(0,$B$5-$B$9))</f>
        <v>3.5</v>
      </c>
      <c r="G121" s="35" t="n">
        <f aca="false">G120+F121</f>
        <v>524</v>
      </c>
    </row>
    <row r="122" customFormat="false" ht="16.5" hidden="false" customHeight="true" outlineLevel="0" collapsed="false">
      <c r="A122" s="32" t="n">
        <f aca="false">A121+1</f>
        <v>46423</v>
      </c>
      <c r="B122" s="33" t="str">
        <f aca="false">CHOOSE(WEEKDAY(A122),"日","月","火","水","木","金","土")</f>
        <v>金</v>
      </c>
      <c r="C122" s="33" t="str">
        <f aca="false">IF(OR(WEEKDAY(A122,2)&gt;5,COUNTIF($I$16:$I$35,A122)&gt;0),"休日","平日")</f>
        <v>平日</v>
      </c>
      <c r="D122" s="34"/>
      <c r="E122" s="33" t="str">
        <f aca="false">IF(D122&lt;&gt;"",D122,C122)</f>
        <v>平日</v>
      </c>
      <c r="F122" s="35" t="n">
        <f aca="false">IF(E122="休日",MAX(0,$B$6-$B$10),MAX(0,$B$5-$B$9))</f>
        <v>3.5</v>
      </c>
      <c r="G122" s="35" t="n">
        <f aca="false">G121+F122</f>
        <v>527.5</v>
      </c>
    </row>
    <row r="123" customFormat="false" ht="16.5" hidden="false" customHeight="true" outlineLevel="0" collapsed="false">
      <c r="A123" s="32" t="n">
        <f aca="false">A122+1</f>
        <v>46424</v>
      </c>
      <c r="B123" s="33" t="str">
        <f aca="false">CHOOSE(WEEKDAY(A123),"日","月","火","水","木","金","土")</f>
        <v>土</v>
      </c>
      <c r="C123" s="33" t="str">
        <f aca="false">IF(OR(WEEKDAY(A123,2)&gt;5,COUNTIF($I$16:$I$35,A123)&gt;0),"休日","平日")</f>
        <v>休日</v>
      </c>
      <c r="D123" s="34"/>
      <c r="E123" s="33" t="str">
        <f aca="false">IF(D123&lt;&gt;"",D123,C123)</f>
        <v>休日</v>
      </c>
      <c r="F123" s="35" t="n">
        <f aca="false">IF(E123="休日",MAX(0,$B$6-$B$10),MAX(0,$B$5-$B$9))</f>
        <v>8</v>
      </c>
      <c r="G123" s="35" t="n">
        <f aca="false">G122+F123</f>
        <v>535.5</v>
      </c>
    </row>
    <row r="124" customFormat="false" ht="16.5" hidden="false" customHeight="true" outlineLevel="0" collapsed="false">
      <c r="A124" s="32" t="n">
        <f aca="false">A123+1</f>
        <v>46425</v>
      </c>
      <c r="B124" s="33" t="str">
        <f aca="false">CHOOSE(WEEKDAY(A124),"日","月","火","水","木","金","土")</f>
        <v>日</v>
      </c>
      <c r="C124" s="33" t="str">
        <f aca="false">IF(OR(WEEKDAY(A124,2)&gt;5,COUNTIF($I$16:$I$35,A124)&gt;0),"休日","平日")</f>
        <v>休日</v>
      </c>
      <c r="D124" s="34"/>
      <c r="E124" s="33" t="str">
        <f aca="false">IF(D124&lt;&gt;"",D124,C124)</f>
        <v>休日</v>
      </c>
      <c r="F124" s="35" t="n">
        <f aca="false">IF(E124="休日",MAX(0,$B$6-$B$10),MAX(0,$B$5-$B$9))</f>
        <v>8</v>
      </c>
      <c r="G124" s="35" t="n">
        <f aca="false">G123+F124</f>
        <v>543.5</v>
      </c>
    </row>
    <row r="125" customFormat="false" ht="16.5" hidden="false" customHeight="true" outlineLevel="0" collapsed="false">
      <c r="A125" s="32" t="n">
        <f aca="false">A124+1</f>
        <v>46426</v>
      </c>
      <c r="B125" s="33" t="str">
        <f aca="false">CHOOSE(WEEKDAY(A125),"日","月","火","水","木","金","土")</f>
        <v>月</v>
      </c>
      <c r="C125" s="33" t="str">
        <f aca="false">IF(OR(WEEKDAY(A125,2)&gt;5,COUNTIF($I$16:$I$35,A125)&gt;0),"休日","平日")</f>
        <v>平日</v>
      </c>
      <c r="D125" s="34"/>
      <c r="E125" s="33" t="str">
        <f aca="false">IF(D125&lt;&gt;"",D125,C125)</f>
        <v>平日</v>
      </c>
      <c r="F125" s="35" t="n">
        <f aca="false">IF(E125="休日",MAX(0,$B$6-$B$10),MAX(0,$B$5-$B$9))</f>
        <v>3.5</v>
      </c>
      <c r="G125" s="35" t="n">
        <f aca="false">G124+F125</f>
        <v>547</v>
      </c>
    </row>
    <row r="126" customFormat="false" ht="16.5" hidden="false" customHeight="true" outlineLevel="0" collapsed="false">
      <c r="A126" s="32" t="n">
        <f aca="false">A125+1</f>
        <v>46427</v>
      </c>
      <c r="B126" s="33" t="str">
        <f aca="false">CHOOSE(WEEKDAY(A126),"日","月","火","水","木","金","土")</f>
        <v>火</v>
      </c>
      <c r="C126" s="33" t="str">
        <f aca="false">IF(OR(WEEKDAY(A126,2)&gt;5,COUNTIF($I$16:$I$35,A126)&gt;0),"休日","平日")</f>
        <v>平日</v>
      </c>
      <c r="D126" s="34"/>
      <c r="E126" s="33" t="str">
        <f aca="false">IF(D126&lt;&gt;"",D126,C126)</f>
        <v>平日</v>
      </c>
      <c r="F126" s="35" t="n">
        <f aca="false">IF(E126="休日",MAX(0,$B$6-$B$10),MAX(0,$B$5-$B$9))</f>
        <v>3.5</v>
      </c>
      <c r="G126" s="35" t="n">
        <f aca="false">G125+F126</f>
        <v>550.5</v>
      </c>
    </row>
    <row r="127" customFormat="false" ht="16.5" hidden="false" customHeight="true" outlineLevel="0" collapsed="false">
      <c r="A127" s="32" t="n">
        <f aca="false">A126+1</f>
        <v>46428</v>
      </c>
      <c r="B127" s="33" t="str">
        <f aca="false">CHOOSE(WEEKDAY(A127),"日","月","火","水","木","金","土")</f>
        <v>水</v>
      </c>
      <c r="C127" s="33" t="str">
        <f aca="false">IF(OR(WEEKDAY(A127,2)&gt;5,COUNTIF($I$16:$I$35,A127)&gt;0),"休日","平日")</f>
        <v>平日</v>
      </c>
      <c r="D127" s="34"/>
      <c r="E127" s="33" t="str">
        <f aca="false">IF(D127&lt;&gt;"",D127,C127)</f>
        <v>平日</v>
      </c>
      <c r="F127" s="35" t="n">
        <f aca="false">IF(E127="休日",MAX(0,$B$6-$B$10),MAX(0,$B$5-$B$9))</f>
        <v>3.5</v>
      </c>
      <c r="G127" s="35" t="n">
        <f aca="false">G126+F127</f>
        <v>554</v>
      </c>
    </row>
    <row r="128" customFormat="false" ht="16.5" hidden="false" customHeight="true" outlineLevel="0" collapsed="false">
      <c r="A128" s="32" t="n">
        <f aca="false">A127+1</f>
        <v>46429</v>
      </c>
      <c r="B128" s="33" t="str">
        <f aca="false">CHOOSE(WEEKDAY(A128),"日","月","火","水","木","金","土")</f>
        <v>木</v>
      </c>
      <c r="C128" s="33" t="str">
        <f aca="false">IF(OR(WEEKDAY(A128,2)&gt;5,COUNTIF($I$16:$I$35,A128)&gt;0),"休日","平日")</f>
        <v>休日</v>
      </c>
      <c r="D128" s="34"/>
      <c r="E128" s="33" t="str">
        <f aca="false">IF(D128&lt;&gt;"",D128,C128)</f>
        <v>休日</v>
      </c>
      <c r="F128" s="35" t="n">
        <f aca="false">IF(E128="休日",MAX(0,$B$6-$B$10),MAX(0,$B$5-$B$9))</f>
        <v>8</v>
      </c>
      <c r="G128" s="35" t="n">
        <f aca="false">G127+F128</f>
        <v>562</v>
      </c>
    </row>
    <row r="129" customFormat="false" ht="16.5" hidden="false" customHeight="true" outlineLevel="0" collapsed="false">
      <c r="A129" s="32" t="n">
        <f aca="false">A128+1</f>
        <v>46430</v>
      </c>
      <c r="B129" s="33" t="str">
        <f aca="false">CHOOSE(WEEKDAY(A129),"日","月","火","水","木","金","土")</f>
        <v>金</v>
      </c>
      <c r="C129" s="33" t="str">
        <f aca="false">IF(OR(WEEKDAY(A129,2)&gt;5,COUNTIF($I$16:$I$35,A129)&gt;0),"休日","平日")</f>
        <v>平日</v>
      </c>
      <c r="D129" s="34"/>
      <c r="E129" s="33" t="str">
        <f aca="false">IF(D129&lt;&gt;"",D129,C129)</f>
        <v>平日</v>
      </c>
      <c r="F129" s="35" t="n">
        <f aca="false">IF(E129="休日",MAX(0,$B$6-$B$10),MAX(0,$B$5-$B$9))</f>
        <v>3.5</v>
      </c>
      <c r="G129" s="35" t="n">
        <f aca="false">G128+F129</f>
        <v>565.5</v>
      </c>
    </row>
    <row r="130" customFormat="false" ht="16.5" hidden="false" customHeight="true" outlineLevel="0" collapsed="false">
      <c r="A130" s="32" t="n">
        <f aca="false">A129+1</f>
        <v>46431</v>
      </c>
      <c r="B130" s="33" t="str">
        <f aca="false">CHOOSE(WEEKDAY(A130),"日","月","火","水","木","金","土")</f>
        <v>土</v>
      </c>
      <c r="C130" s="33" t="str">
        <f aca="false">IF(OR(WEEKDAY(A130,2)&gt;5,COUNTIF($I$16:$I$35,A130)&gt;0),"休日","平日")</f>
        <v>休日</v>
      </c>
      <c r="D130" s="34"/>
      <c r="E130" s="33" t="str">
        <f aca="false">IF(D130&lt;&gt;"",D130,C130)</f>
        <v>休日</v>
      </c>
      <c r="F130" s="35" t="n">
        <f aca="false">IF(E130="休日",MAX(0,$B$6-$B$10),MAX(0,$B$5-$B$9))</f>
        <v>8</v>
      </c>
      <c r="G130" s="35" t="n">
        <f aca="false">G129+F130</f>
        <v>573.5</v>
      </c>
    </row>
    <row r="131" customFormat="false" ht="16.5" hidden="false" customHeight="true" outlineLevel="0" collapsed="false">
      <c r="A131" s="32" t="n">
        <f aca="false">A130+1</f>
        <v>46432</v>
      </c>
      <c r="B131" s="33" t="str">
        <f aca="false">CHOOSE(WEEKDAY(A131),"日","月","火","水","木","金","土")</f>
        <v>日</v>
      </c>
      <c r="C131" s="33" t="str">
        <f aca="false">IF(OR(WEEKDAY(A131,2)&gt;5,COUNTIF($I$16:$I$35,A131)&gt;0),"休日","平日")</f>
        <v>休日</v>
      </c>
      <c r="D131" s="34"/>
      <c r="E131" s="33" t="str">
        <f aca="false">IF(D131&lt;&gt;"",D131,C131)</f>
        <v>休日</v>
      </c>
      <c r="F131" s="35" t="n">
        <f aca="false">IF(E131="休日",MAX(0,$B$6-$B$10),MAX(0,$B$5-$B$9))</f>
        <v>8</v>
      </c>
      <c r="G131" s="35" t="n">
        <f aca="false">G130+F131</f>
        <v>581.5</v>
      </c>
    </row>
    <row r="132" customFormat="false" ht="16.5" hidden="false" customHeight="true" outlineLevel="0" collapsed="false">
      <c r="A132" s="32" t="n">
        <f aca="false">A131+1</f>
        <v>46433</v>
      </c>
      <c r="B132" s="33" t="str">
        <f aca="false">CHOOSE(WEEKDAY(A132),"日","月","火","水","木","金","土")</f>
        <v>月</v>
      </c>
      <c r="C132" s="33" t="str">
        <f aca="false">IF(OR(WEEKDAY(A132,2)&gt;5,COUNTIF($I$16:$I$35,A132)&gt;0),"休日","平日")</f>
        <v>平日</v>
      </c>
      <c r="D132" s="34"/>
      <c r="E132" s="33" t="str">
        <f aca="false">IF(D132&lt;&gt;"",D132,C132)</f>
        <v>平日</v>
      </c>
      <c r="F132" s="35" t="n">
        <f aca="false">IF(E132="休日",MAX(0,$B$6-$B$10),MAX(0,$B$5-$B$9))</f>
        <v>3.5</v>
      </c>
      <c r="G132" s="35" t="n">
        <f aca="false">G131+F132</f>
        <v>585</v>
      </c>
    </row>
    <row r="133" customFormat="false" ht="16.5" hidden="false" customHeight="true" outlineLevel="0" collapsed="false">
      <c r="A133" s="32" t="n">
        <f aca="false">A132+1</f>
        <v>46434</v>
      </c>
      <c r="B133" s="33" t="str">
        <f aca="false">CHOOSE(WEEKDAY(A133),"日","月","火","水","木","金","土")</f>
        <v>火</v>
      </c>
      <c r="C133" s="33" t="str">
        <f aca="false">IF(OR(WEEKDAY(A133,2)&gt;5,COUNTIF($I$16:$I$35,A133)&gt;0),"休日","平日")</f>
        <v>平日</v>
      </c>
      <c r="D133" s="34"/>
      <c r="E133" s="33" t="str">
        <f aca="false">IF(D133&lt;&gt;"",D133,C133)</f>
        <v>平日</v>
      </c>
      <c r="F133" s="35" t="n">
        <f aca="false">IF(E133="休日",MAX(0,$B$6-$B$10),MAX(0,$B$5-$B$9))</f>
        <v>3.5</v>
      </c>
      <c r="G133" s="35" t="n">
        <f aca="false">G132+F133</f>
        <v>588.5</v>
      </c>
    </row>
    <row r="134" customFormat="false" ht="16.5" hidden="false" customHeight="true" outlineLevel="0" collapsed="false">
      <c r="A134" s="32" t="n">
        <f aca="false">A133+1</f>
        <v>46435</v>
      </c>
      <c r="B134" s="33" t="str">
        <f aca="false">CHOOSE(WEEKDAY(A134),"日","月","火","水","木","金","土")</f>
        <v>水</v>
      </c>
      <c r="C134" s="33" t="str">
        <f aca="false">IF(OR(WEEKDAY(A134,2)&gt;5,COUNTIF($I$16:$I$35,A134)&gt;0),"休日","平日")</f>
        <v>平日</v>
      </c>
      <c r="D134" s="34"/>
      <c r="E134" s="33" t="str">
        <f aca="false">IF(D134&lt;&gt;"",D134,C134)</f>
        <v>平日</v>
      </c>
      <c r="F134" s="35" t="n">
        <f aca="false">IF(E134="休日",MAX(0,$B$6-$B$10),MAX(0,$B$5-$B$9))</f>
        <v>3.5</v>
      </c>
      <c r="G134" s="35" t="n">
        <f aca="false">G133+F134</f>
        <v>592</v>
      </c>
    </row>
    <row r="135" customFormat="false" ht="16.5" hidden="false" customHeight="true" outlineLevel="0" collapsed="false">
      <c r="A135" s="32" t="n">
        <f aca="false">A134+1</f>
        <v>46436</v>
      </c>
      <c r="B135" s="33" t="str">
        <f aca="false">CHOOSE(WEEKDAY(A135),"日","月","火","水","木","金","土")</f>
        <v>木</v>
      </c>
      <c r="C135" s="33" t="str">
        <f aca="false">IF(OR(WEEKDAY(A135,2)&gt;5,COUNTIF($I$16:$I$35,A135)&gt;0),"休日","平日")</f>
        <v>平日</v>
      </c>
      <c r="D135" s="34"/>
      <c r="E135" s="33" t="str">
        <f aca="false">IF(D135&lt;&gt;"",D135,C135)</f>
        <v>平日</v>
      </c>
      <c r="F135" s="35" t="n">
        <f aca="false">IF(E135="休日",MAX(0,$B$6-$B$10),MAX(0,$B$5-$B$9))</f>
        <v>3.5</v>
      </c>
      <c r="G135" s="35" t="n">
        <f aca="false">G134+F135</f>
        <v>595.5</v>
      </c>
    </row>
    <row r="136" customFormat="false" ht="16.5" hidden="false" customHeight="true" outlineLevel="0" collapsed="false">
      <c r="A136" s="32" t="n">
        <f aca="false">A135+1</f>
        <v>46437</v>
      </c>
      <c r="B136" s="33" t="str">
        <f aca="false">CHOOSE(WEEKDAY(A136),"日","月","火","水","木","金","土")</f>
        <v>金</v>
      </c>
      <c r="C136" s="33" t="str">
        <f aca="false">IF(OR(WEEKDAY(A136,2)&gt;5,COUNTIF($I$16:$I$35,A136)&gt;0),"休日","平日")</f>
        <v>平日</v>
      </c>
      <c r="D136" s="34"/>
      <c r="E136" s="33" t="str">
        <f aca="false">IF(D136&lt;&gt;"",D136,C136)</f>
        <v>平日</v>
      </c>
      <c r="F136" s="35" t="n">
        <f aca="false">IF(E136="休日",MAX(0,$B$6-$B$10),MAX(0,$B$5-$B$9))</f>
        <v>3.5</v>
      </c>
      <c r="G136" s="35" t="n">
        <f aca="false">G135+F136</f>
        <v>599</v>
      </c>
    </row>
    <row r="137" customFormat="false" ht="16.5" hidden="false" customHeight="true" outlineLevel="0" collapsed="false">
      <c r="A137" s="32" t="n">
        <f aca="false">A136+1</f>
        <v>46438</v>
      </c>
      <c r="B137" s="33" t="str">
        <f aca="false">CHOOSE(WEEKDAY(A137),"日","月","火","水","木","金","土")</f>
        <v>土</v>
      </c>
      <c r="C137" s="33" t="str">
        <f aca="false">IF(OR(WEEKDAY(A137,2)&gt;5,COUNTIF($I$16:$I$35,A137)&gt;0),"休日","平日")</f>
        <v>休日</v>
      </c>
      <c r="D137" s="34"/>
      <c r="E137" s="33" t="str">
        <f aca="false">IF(D137&lt;&gt;"",D137,C137)</f>
        <v>休日</v>
      </c>
      <c r="F137" s="35" t="n">
        <f aca="false">IF(E137="休日",MAX(0,$B$6-$B$10),MAX(0,$B$5-$B$9))</f>
        <v>8</v>
      </c>
      <c r="G137" s="35" t="n">
        <f aca="false">G136+F137</f>
        <v>607</v>
      </c>
    </row>
    <row r="138" customFormat="false" ht="16.5" hidden="false" customHeight="true" outlineLevel="0" collapsed="false">
      <c r="A138" s="32" t="n">
        <f aca="false">A137+1</f>
        <v>46439</v>
      </c>
      <c r="B138" s="33" t="str">
        <f aca="false">CHOOSE(WEEKDAY(A138),"日","月","火","水","木","金","土")</f>
        <v>日</v>
      </c>
      <c r="C138" s="33" t="str">
        <f aca="false">IF(OR(WEEKDAY(A138,2)&gt;5,COUNTIF($I$16:$I$35,A138)&gt;0),"休日","平日")</f>
        <v>休日</v>
      </c>
      <c r="D138" s="34"/>
      <c r="E138" s="33" t="str">
        <f aca="false">IF(D138&lt;&gt;"",D138,C138)</f>
        <v>休日</v>
      </c>
      <c r="F138" s="35" t="n">
        <f aca="false">IF(E138="休日",MAX(0,$B$6-$B$10),MAX(0,$B$5-$B$9))</f>
        <v>8</v>
      </c>
      <c r="G138" s="35" t="n">
        <f aca="false">G137+F138</f>
        <v>615</v>
      </c>
    </row>
    <row r="139" customFormat="false" ht="16.5" hidden="false" customHeight="true" outlineLevel="0" collapsed="false">
      <c r="A139" s="32" t="n">
        <f aca="false">A138+1</f>
        <v>46440</v>
      </c>
      <c r="B139" s="33" t="str">
        <f aca="false">CHOOSE(WEEKDAY(A139),"日","月","火","水","木","金","土")</f>
        <v>月</v>
      </c>
      <c r="C139" s="33" t="str">
        <f aca="false">IF(OR(WEEKDAY(A139,2)&gt;5,COUNTIF($I$16:$I$35,A139)&gt;0),"休日","平日")</f>
        <v>平日</v>
      </c>
      <c r="D139" s="34"/>
      <c r="E139" s="33" t="str">
        <f aca="false">IF(D139&lt;&gt;"",D139,C139)</f>
        <v>平日</v>
      </c>
      <c r="F139" s="35" t="n">
        <f aca="false">IF(E139="休日",MAX(0,$B$6-$B$10),MAX(0,$B$5-$B$9))</f>
        <v>3.5</v>
      </c>
      <c r="G139" s="35" t="n">
        <f aca="false">G138+F139</f>
        <v>618.5</v>
      </c>
    </row>
    <row r="140" customFormat="false" ht="16.5" hidden="false" customHeight="true" outlineLevel="0" collapsed="false">
      <c r="A140" s="32" t="n">
        <f aca="false">A139+1</f>
        <v>46441</v>
      </c>
      <c r="B140" s="33" t="str">
        <f aca="false">CHOOSE(WEEKDAY(A140),"日","月","火","水","木","金","土")</f>
        <v>火</v>
      </c>
      <c r="C140" s="33" t="str">
        <f aca="false">IF(OR(WEEKDAY(A140,2)&gt;5,COUNTIF($I$16:$I$35,A140)&gt;0),"休日","平日")</f>
        <v>休日</v>
      </c>
      <c r="D140" s="34"/>
      <c r="E140" s="33" t="str">
        <f aca="false">IF(D140&lt;&gt;"",D140,C140)</f>
        <v>休日</v>
      </c>
      <c r="F140" s="35" t="n">
        <f aca="false">IF(E140="休日",MAX(0,$B$6-$B$10),MAX(0,$B$5-$B$9))</f>
        <v>8</v>
      </c>
      <c r="G140" s="35" t="n">
        <f aca="false">G139+F140</f>
        <v>626.5</v>
      </c>
    </row>
    <row r="141" customFormat="false" ht="16.5" hidden="false" customHeight="true" outlineLevel="0" collapsed="false">
      <c r="A141" s="32" t="n">
        <f aca="false">A140+1</f>
        <v>46442</v>
      </c>
      <c r="B141" s="33" t="str">
        <f aca="false">CHOOSE(WEEKDAY(A141),"日","月","火","水","木","金","土")</f>
        <v>水</v>
      </c>
      <c r="C141" s="33" t="str">
        <f aca="false">IF(OR(WEEKDAY(A141,2)&gt;5,COUNTIF($I$16:$I$35,A141)&gt;0),"休日","平日")</f>
        <v>平日</v>
      </c>
      <c r="D141" s="34"/>
      <c r="E141" s="33" t="str">
        <f aca="false">IF(D141&lt;&gt;"",D141,C141)</f>
        <v>平日</v>
      </c>
      <c r="F141" s="35" t="n">
        <f aca="false">IF(E141="休日",MAX(0,$B$6-$B$10),MAX(0,$B$5-$B$9))</f>
        <v>3.5</v>
      </c>
      <c r="G141" s="35" t="n">
        <f aca="false">G140+F141</f>
        <v>630</v>
      </c>
    </row>
    <row r="142" customFormat="false" ht="16.5" hidden="false" customHeight="true" outlineLevel="0" collapsed="false">
      <c r="A142" s="32" t="n">
        <f aca="false">A141+1</f>
        <v>46443</v>
      </c>
      <c r="B142" s="33" t="str">
        <f aca="false">CHOOSE(WEEKDAY(A142),"日","月","火","水","木","金","土")</f>
        <v>木</v>
      </c>
      <c r="C142" s="33" t="str">
        <f aca="false">IF(OR(WEEKDAY(A142,2)&gt;5,COUNTIF($I$16:$I$35,A142)&gt;0),"休日","平日")</f>
        <v>平日</v>
      </c>
      <c r="D142" s="34"/>
      <c r="E142" s="33" t="str">
        <f aca="false">IF(D142&lt;&gt;"",D142,C142)</f>
        <v>平日</v>
      </c>
      <c r="F142" s="35" t="n">
        <f aca="false">IF(E142="休日",MAX(0,$B$6-$B$10),MAX(0,$B$5-$B$9))</f>
        <v>3.5</v>
      </c>
      <c r="G142" s="35" t="n">
        <f aca="false">G141+F142</f>
        <v>633.5</v>
      </c>
    </row>
    <row r="143" customFormat="false" ht="16.5" hidden="false" customHeight="true" outlineLevel="0" collapsed="false">
      <c r="A143" s="32" t="n">
        <f aca="false">A142+1</f>
        <v>46444</v>
      </c>
      <c r="B143" s="33" t="str">
        <f aca="false">CHOOSE(WEEKDAY(A143),"日","月","火","水","木","金","土")</f>
        <v>金</v>
      </c>
      <c r="C143" s="33" t="str">
        <f aca="false">IF(OR(WEEKDAY(A143,2)&gt;5,COUNTIF($I$16:$I$35,A143)&gt;0),"休日","平日")</f>
        <v>平日</v>
      </c>
      <c r="D143" s="34"/>
      <c r="E143" s="33" t="str">
        <f aca="false">IF(D143&lt;&gt;"",D143,C143)</f>
        <v>平日</v>
      </c>
      <c r="F143" s="35" t="n">
        <f aca="false">IF(E143="休日",MAX(0,$B$6-$B$10),MAX(0,$B$5-$B$9))</f>
        <v>3.5</v>
      </c>
      <c r="G143" s="35" t="n">
        <f aca="false">G142+F143</f>
        <v>637</v>
      </c>
    </row>
    <row r="144" customFormat="false" ht="16.5" hidden="false" customHeight="true" outlineLevel="0" collapsed="false">
      <c r="A144" s="32" t="n">
        <f aca="false">A143+1</f>
        <v>46445</v>
      </c>
      <c r="B144" s="33" t="str">
        <f aca="false">CHOOSE(WEEKDAY(A144),"日","月","火","水","木","金","土")</f>
        <v>土</v>
      </c>
      <c r="C144" s="33" t="str">
        <f aca="false">IF(OR(WEEKDAY(A144,2)&gt;5,COUNTIF($I$16:$I$35,A144)&gt;0),"休日","平日")</f>
        <v>休日</v>
      </c>
      <c r="D144" s="34"/>
      <c r="E144" s="33" t="str">
        <f aca="false">IF(D144&lt;&gt;"",D144,C144)</f>
        <v>休日</v>
      </c>
      <c r="F144" s="35" t="n">
        <f aca="false">IF(E144="休日",MAX(0,$B$6-$B$10),MAX(0,$B$5-$B$9))</f>
        <v>8</v>
      </c>
      <c r="G144" s="35" t="n">
        <f aca="false">G143+F144</f>
        <v>645</v>
      </c>
    </row>
    <row r="145" customFormat="false" ht="16.5" hidden="false" customHeight="true" outlineLevel="0" collapsed="false">
      <c r="A145" s="32" t="n">
        <f aca="false">A144+1</f>
        <v>46446</v>
      </c>
      <c r="B145" s="33" t="str">
        <f aca="false">CHOOSE(WEEKDAY(A145),"日","月","火","水","木","金","土")</f>
        <v>日</v>
      </c>
      <c r="C145" s="33" t="str">
        <f aca="false">IF(OR(WEEKDAY(A145,2)&gt;5,COUNTIF($I$16:$I$35,A145)&gt;0),"休日","平日")</f>
        <v>休日</v>
      </c>
      <c r="D145" s="34"/>
      <c r="E145" s="33" t="str">
        <f aca="false">IF(D145&lt;&gt;"",D145,C145)</f>
        <v>休日</v>
      </c>
      <c r="F145" s="35" t="n">
        <f aca="false">IF(E145="休日",MAX(0,$B$6-$B$10),MAX(0,$B$5-$B$9))</f>
        <v>8</v>
      </c>
      <c r="G145" s="35" t="n">
        <f aca="false">G144+F145</f>
        <v>653</v>
      </c>
    </row>
    <row r="146" customFormat="false" ht="16.5" hidden="false" customHeight="true" outlineLevel="0" collapsed="false">
      <c r="A146" s="32" t="n">
        <f aca="false">A145+1</f>
        <v>46447</v>
      </c>
      <c r="B146" s="33" t="str">
        <f aca="false">CHOOSE(WEEKDAY(A146),"日","月","火","水","木","金","土")</f>
        <v>月</v>
      </c>
      <c r="C146" s="33" t="str">
        <f aca="false">IF(OR(WEEKDAY(A146,2)&gt;5,COUNTIF($I$16:$I$35,A146)&gt;0),"休日","平日")</f>
        <v>平日</v>
      </c>
      <c r="D146" s="34"/>
      <c r="E146" s="33" t="str">
        <f aca="false">IF(D146&lt;&gt;"",D146,C146)</f>
        <v>平日</v>
      </c>
      <c r="F146" s="35" t="n">
        <f aca="false">IF(E146="休日",MAX(0,$B$6-$B$10),MAX(0,$B$5-$B$9))</f>
        <v>3.5</v>
      </c>
      <c r="G146" s="35" t="n">
        <f aca="false">G145+F146</f>
        <v>656.5</v>
      </c>
    </row>
    <row r="147" customFormat="false" ht="16.5" hidden="false" customHeight="true" outlineLevel="0" collapsed="false">
      <c r="A147" s="32" t="n">
        <f aca="false">A146+1</f>
        <v>46448</v>
      </c>
      <c r="B147" s="33" t="str">
        <f aca="false">CHOOSE(WEEKDAY(A147),"日","月","火","水","木","金","土")</f>
        <v>火</v>
      </c>
      <c r="C147" s="33" t="str">
        <f aca="false">IF(OR(WEEKDAY(A147,2)&gt;5,COUNTIF($I$16:$I$35,A147)&gt;0),"休日","平日")</f>
        <v>平日</v>
      </c>
      <c r="D147" s="34"/>
      <c r="E147" s="33" t="str">
        <f aca="false">IF(D147&lt;&gt;"",D147,C147)</f>
        <v>平日</v>
      </c>
      <c r="F147" s="35" t="n">
        <f aca="false">IF(E147="休日",MAX(0,$B$6-$B$10),MAX(0,$B$5-$B$9))</f>
        <v>3.5</v>
      </c>
      <c r="G147" s="35" t="n">
        <f aca="false">G146+F147</f>
        <v>660</v>
      </c>
    </row>
    <row r="148" customFormat="false" ht="16.5" hidden="false" customHeight="true" outlineLevel="0" collapsed="false">
      <c r="A148" s="32" t="n">
        <f aca="false">A147+1</f>
        <v>46449</v>
      </c>
      <c r="B148" s="33" t="str">
        <f aca="false">CHOOSE(WEEKDAY(A148),"日","月","火","水","木","金","土")</f>
        <v>水</v>
      </c>
      <c r="C148" s="33" t="str">
        <f aca="false">IF(OR(WEEKDAY(A148,2)&gt;5,COUNTIF($I$16:$I$35,A148)&gt;0),"休日","平日")</f>
        <v>平日</v>
      </c>
      <c r="D148" s="34"/>
      <c r="E148" s="33" t="str">
        <f aca="false">IF(D148&lt;&gt;"",D148,C148)</f>
        <v>平日</v>
      </c>
      <c r="F148" s="35" t="n">
        <f aca="false">IF(E148="休日",MAX(0,$B$6-$B$10),MAX(0,$B$5-$B$9))</f>
        <v>3.5</v>
      </c>
      <c r="G148" s="35" t="n">
        <f aca="false">G147+F148</f>
        <v>663.5</v>
      </c>
    </row>
    <row r="149" customFormat="false" ht="16.5" hidden="false" customHeight="true" outlineLevel="0" collapsed="false">
      <c r="A149" s="32" t="n">
        <f aca="false">A148+1</f>
        <v>46450</v>
      </c>
      <c r="B149" s="33" t="str">
        <f aca="false">CHOOSE(WEEKDAY(A149),"日","月","火","水","木","金","土")</f>
        <v>木</v>
      </c>
      <c r="C149" s="33" t="str">
        <f aca="false">IF(OR(WEEKDAY(A149,2)&gt;5,COUNTIF($I$16:$I$35,A149)&gt;0),"休日","平日")</f>
        <v>平日</v>
      </c>
      <c r="D149" s="34"/>
      <c r="E149" s="33" t="str">
        <f aca="false">IF(D149&lt;&gt;"",D149,C149)</f>
        <v>平日</v>
      </c>
      <c r="F149" s="35" t="n">
        <f aca="false">IF(E149="休日",MAX(0,$B$6-$B$10),MAX(0,$B$5-$B$9))</f>
        <v>3.5</v>
      </c>
      <c r="G149" s="35" t="n">
        <f aca="false">G148+F149</f>
        <v>667</v>
      </c>
    </row>
    <row r="150" customFormat="false" ht="16.5" hidden="false" customHeight="true" outlineLevel="0" collapsed="false">
      <c r="A150" s="32" t="n">
        <f aca="false">A149+1</f>
        <v>46451</v>
      </c>
      <c r="B150" s="33" t="str">
        <f aca="false">CHOOSE(WEEKDAY(A150),"日","月","火","水","木","金","土")</f>
        <v>金</v>
      </c>
      <c r="C150" s="33" t="str">
        <f aca="false">IF(OR(WEEKDAY(A150,2)&gt;5,COUNTIF($I$16:$I$35,A150)&gt;0),"休日","平日")</f>
        <v>平日</v>
      </c>
      <c r="D150" s="34"/>
      <c r="E150" s="33" t="str">
        <f aca="false">IF(D150&lt;&gt;"",D150,C150)</f>
        <v>平日</v>
      </c>
      <c r="F150" s="35" t="n">
        <f aca="false">IF(E150="休日",MAX(0,$B$6-$B$10),MAX(0,$B$5-$B$9))</f>
        <v>3.5</v>
      </c>
      <c r="G150" s="35" t="n">
        <f aca="false">G149+F150</f>
        <v>670.5</v>
      </c>
    </row>
    <row r="151" customFormat="false" ht="16.5" hidden="false" customHeight="true" outlineLevel="0" collapsed="false">
      <c r="A151" s="32" t="n">
        <f aca="false">A150+1</f>
        <v>46452</v>
      </c>
      <c r="B151" s="33" t="str">
        <f aca="false">CHOOSE(WEEKDAY(A151),"日","月","火","水","木","金","土")</f>
        <v>土</v>
      </c>
      <c r="C151" s="33" t="str">
        <f aca="false">IF(OR(WEEKDAY(A151,2)&gt;5,COUNTIF($I$16:$I$35,A151)&gt;0),"休日","平日")</f>
        <v>休日</v>
      </c>
      <c r="D151" s="34"/>
      <c r="E151" s="33" t="str">
        <f aca="false">IF(D151&lt;&gt;"",D151,C151)</f>
        <v>休日</v>
      </c>
      <c r="F151" s="35" t="n">
        <f aca="false">IF(E151="休日",MAX(0,$B$6-$B$10),MAX(0,$B$5-$B$9))</f>
        <v>8</v>
      </c>
      <c r="G151" s="35" t="n">
        <f aca="false">G150+F151</f>
        <v>678.5</v>
      </c>
    </row>
    <row r="152" customFormat="false" ht="16.5" hidden="false" customHeight="true" outlineLevel="0" collapsed="false">
      <c r="A152" s="32" t="n">
        <f aca="false">A151+1</f>
        <v>46453</v>
      </c>
      <c r="B152" s="33" t="str">
        <f aca="false">CHOOSE(WEEKDAY(A152),"日","月","火","水","木","金","土")</f>
        <v>日</v>
      </c>
      <c r="C152" s="33" t="str">
        <f aca="false">IF(OR(WEEKDAY(A152,2)&gt;5,COUNTIF($I$16:$I$35,A152)&gt;0),"休日","平日")</f>
        <v>休日</v>
      </c>
      <c r="D152" s="34"/>
      <c r="E152" s="33" t="str">
        <f aca="false">IF(D152&lt;&gt;"",D152,C152)</f>
        <v>休日</v>
      </c>
      <c r="F152" s="35" t="n">
        <f aca="false">IF(E152="休日",MAX(0,$B$6-$B$10),MAX(0,$B$5-$B$9))</f>
        <v>8</v>
      </c>
      <c r="G152" s="35" t="n">
        <f aca="false">G151+F152</f>
        <v>686.5</v>
      </c>
    </row>
    <row r="153" customFormat="false" ht="16.5" hidden="false" customHeight="true" outlineLevel="0" collapsed="false">
      <c r="A153" s="32" t="n">
        <f aca="false">A152+1</f>
        <v>46454</v>
      </c>
      <c r="B153" s="33" t="str">
        <f aca="false">CHOOSE(WEEKDAY(A153),"日","月","火","水","木","金","土")</f>
        <v>月</v>
      </c>
      <c r="C153" s="33" t="str">
        <f aca="false">IF(OR(WEEKDAY(A153,2)&gt;5,COUNTIF($I$16:$I$35,A153)&gt;0),"休日","平日")</f>
        <v>平日</v>
      </c>
      <c r="D153" s="34"/>
      <c r="E153" s="33" t="str">
        <f aca="false">IF(D153&lt;&gt;"",D153,C153)</f>
        <v>平日</v>
      </c>
      <c r="F153" s="35" t="n">
        <f aca="false">IF(E153="休日",MAX(0,$B$6-$B$10),MAX(0,$B$5-$B$9))</f>
        <v>3.5</v>
      </c>
      <c r="G153" s="35" t="n">
        <f aca="false">G152+F153</f>
        <v>690</v>
      </c>
    </row>
    <row r="154" customFormat="false" ht="16.5" hidden="false" customHeight="true" outlineLevel="0" collapsed="false">
      <c r="A154" s="32" t="n">
        <f aca="false">A153+1</f>
        <v>46455</v>
      </c>
      <c r="B154" s="33" t="str">
        <f aca="false">CHOOSE(WEEKDAY(A154),"日","月","火","水","木","金","土")</f>
        <v>火</v>
      </c>
      <c r="C154" s="33" t="str">
        <f aca="false">IF(OR(WEEKDAY(A154,2)&gt;5,COUNTIF($I$16:$I$35,A154)&gt;0),"休日","平日")</f>
        <v>平日</v>
      </c>
      <c r="D154" s="34"/>
      <c r="E154" s="33" t="str">
        <f aca="false">IF(D154&lt;&gt;"",D154,C154)</f>
        <v>平日</v>
      </c>
      <c r="F154" s="35" t="n">
        <f aca="false">IF(E154="休日",MAX(0,$B$6-$B$10),MAX(0,$B$5-$B$9))</f>
        <v>3.5</v>
      </c>
      <c r="G154" s="35" t="n">
        <f aca="false">G153+F154</f>
        <v>693.5</v>
      </c>
    </row>
    <row r="155" customFormat="false" ht="16.5" hidden="false" customHeight="true" outlineLevel="0" collapsed="false">
      <c r="A155" s="32" t="n">
        <f aca="false">A154+1</f>
        <v>46456</v>
      </c>
      <c r="B155" s="33" t="str">
        <f aca="false">CHOOSE(WEEKDAY(A155),"日","月","火","水","木","金","土")</f>
        <v>水</v>
      </c>
      <c r="C155" s="33" t="str">
        <f aca="false">IF(OR(WEEKDAY(A155,2)&gt;5,COUNTIF($I$16:$I$35,A155)&gt;0),"休日","平日")</f>
        <v>平日</v>
      </c>
      <c r="D155" s="34"/>
      <c r="E155" s="33" t="str">
        <f aca="false">IF(D155&lt;&gt;"",D155,C155)</f>
        <v>平日</v>
      </c>
      <c r="F155" s="35" t="n">
        <f aca="false">IF(E155="休日",MAX(0,$B$6-$B$10),MAX(0,$B$5-$B$9))</f>
        <v>3.5</v>
      </c>
      <c r="G155" s="35" t="n">
        <f aca="false">G154+F155</f>
        <v>697</v>
      </c>
    </row>
    <row r="156" customFormat="false" ht="16.5" hidden="false" customHeight="true" outlineLevel="0" collapsed="false">
      <c r="A156" s="32" t="n">
        <f aca="false">A155+1</f>
        <v>46457</v>
      </c>
      <c r="B156" s="33" t="str">
        <f aca="false">CHOOSE(WEEKDAY(A156),"日","月","火","水","木","金","土")</f>
        <v>木</v>
      </c>
      <c r="C156" s="33" t="str">
        <f aca="false">IF(OR(WEEKDAY(A156,2)&gt;5,COUNTIF($I$16:$I$35,A156)&gt;0),"休日","平日")</f>
        <v>平日</v>
      </c>
      <c r="D156" s="34"/>
      <c r="E156" s="33" t="str">
        <f aca="false">IF(D156&lt;&gt;"",D156,C156)</f>
        <v>平日</v>
      </c>
      <c r="F156" s="35" t="n">
        <f aca="false">IF(E156="休日",MAX(0,$B$6-$B$10),MAX(0,$B$5-$B$9))</f>
        <v>3.5</v>
      </c>
      <c r="G156" s="35" t="n">
        <f aca="false">G155+F156</f>
        <v>700.5</v>
      </c>
    </row>
    <row r="157" customFormat="false" ht="16.5" hidden="false" customHeight="true" outlineLevel="0" collapsed="false">
      <c r="A157" s="32" t="n">
        <f aca="false">A156+1</f>
        <v>46458</v>
      </c>
      <c r="B157" s="33" t="str">
        <f aca="false">CHOOSE(WEEKDAY(A157),"日","月","火","水","木","金","土")</f>
        <v>金</v>
      </c>
      <c r="C157" s="33" t="str">
        <f aca="false">IF(OR(WEEKDAY(A157,2)&gt;5,COUNTIF($I$16:$I$35,A157)&gt;0),"休日","平日")</f>
        <v>平日</v>
      </c>
      <c r="D157" s="34"/>
      <c r="E157" s="33" t="str">
        <f aca="false">IF(D157&lt;&gt;"",D157,C157)</f>
        <v>平日</v>
      </c>
      <c r="F157" s="35" t="n">
        <f aca="false">IF(E157="休日",MAX(0,$B$6-$B$10),MAX(0,$B$5-$B$9))</f>
        <v>3.5</v>
      </c>
      <c r="G157" s="35" t="n">
        <f aca="false">G156+F157</f>
        <v>704</v>
      </c>
    </row>
    <row r="158" customFormat="false" ht="16.5" hidden="false" customHeight="true" outlineLevel="0" collapsed="false">
      <c r="A158" s="32" t="n">
        <f aca="false">A157+1</f>
        <v>46459</v>
      </c>
      <c r="B158" s="33" t="str">
        <f aca="false">CHOOSE(WEEKDAY(A158),"日","月","火","水","木","金","土")</f>
        <v>土</v>
      </c>
      <c r="C158" s="33" t="str">
        <f aca="false">IF(OR(WEEKDAY(A158,2)&gt;5,COUNTIF($I$16:$I$35,A158)&gt;0),"休日","平日")</f>
        <v>休日</v>
      </c>
      <c r="D158" s="34"/>
      <c r="E158" s="33" t="str">
        <f aca="false">IF(D158&lt;&gt;"",D158,C158)</f>
        <v>休日</v>
      </c>
      <c r="F158" s="35" t="n">
        <f aca="false">IF(E158="休日",MAX(0,$B$6-$B$10),MAX(0,$B$5-$B$9))</f>
        <v>8</v>
      </c>
      <c r="G158" s="35" t="n">
        <f aca="false">G157+F158</f>
        <v>712</v>
      </c>
    </row>
    <row r="159" customFormat="false" ht="16.5" hidden="false" customHeight="true" outlineLevel="0" collapsed="false">
      <c r="A159" s="32" t="n">
        <f aca="false">A158+1</f>
        <v>46460</v>
      </c>
      <c r="B159" s="33" t="str">
        <f aca="false">CHOOSE(WEEKDAY(A159),"日","月","火","水","木","金","土")</f>
        <v>日</v>
      </c>
      <c r="C159" s="33" t="str">
        <f aca="false">IF(OR(WEEKDAY(A159,2)&gt;5,COUNTIF($I$16:$I$35,A159)&gt;0),"休日","平日")</f>
        <v>休日</v>
      </c>
      <c r="D159" s="34"/>
      <c r="E159" s="33" t="str">
        <f aca="false">IF(D159&lt;&gt;"",D159,C159)</f>
        <v>休日</v>
      </c>
      <c r="F159" s="35" t="n">
        <f aca="false">IF(E159="休日",MAX(0,$B$6-$B$10),MAX(0,$B$5-$B$9))</f>
        <v>8</v>
      </c>
      <c r="G159" s="35" t="n">
        <f aca="false">G158+F159</f>
        <v>720</v>
      </c>
    </row>
    <row r="160" customFormat="false" ht="16.5" hidden="false" customHeight="true" outlineLevel="0" collapsed="false">
      <c r="A160" s="32" t="n">
        <f aca="false">A159+1</f>
        <v>46461</v>
      </c>
      <c r="B160" s="33" t="str">
        <f aca="false">CHOOSE(WEEKDAY(A160),"日","月","火","水","木","金","土")</f>
        <v>月</v>
      </c>
      <c r="C160" s="33" t="str">
        <f aca="false">IF(OR(WEEKDAY(A160,2)&gt;5,COUNTIF($I$16:$I$35,A160)&gt;0),"休日","平日")</f>
        <v>平日</v>
      </c>
      <c r="D160" s="34"/>
      <c r="E160" s="33" t="str">
        <f aca="false">IF(D160&lt;&gt;"",D160,C160)</f>
        <v>平日</v>
      </c>
      <c r="F160" s="35" t="n">
        <f aca="false">IF(E160="休日",MAX(0,$B$6-$B$10),MAX(0,$B$5-$B$9))</f>
        <v>3.5</v>
      </c>
      <c r="G160" s="35" t="n">
        <f aca="false">G159+F160</f>
        <v>723.5</v>
      </c>
    </row>
    <row r="161" customFormat="false" ht="16.5" hidden="false" customHeight="true" outlineLevel="0" collapsed="false">
      <c r="A161" s="32" t="n">
        <f aca="false">A160+1</f>
        <v>46462</v>
      </c>
      <c r="B161" s="33" t="str">
        <f aca="false">CHOOSE(WEEKDAY(A161),"日","月","火","水","木","金","土")</f>
        <v>火</v>
      </c>
      <c r="C161" s="33" t="str">
        <f aca="false">IF(OR(WEEKDAY(A161,2)&gt;5,COUNTIF($I$16:$I$35,A161)&gt;0),"休日","平日")</f>
        <v>平日</v>
      </c>
      <c r="D161" s="34"/>
      <c r="E161" s="33" t="str">
        <f aca="false">IF(D161&lt;&gt;"",D161,C161)</f>
        <v>平日</v>
      </c>
      <c r="F161" s="35" t="n">
        <f aca="false">IF(E161="休日",MAX(0,$B$6-$B$10),MAX(0,$B$5-$B$9))</f>
        <v>3.5</v>
      </c>
      <c r="G161" s="35" t="n">
        <f aca="false">G160+F161</f>
        <v>727</v>
      </c>
    </row>
    <row r="162" customFormat="false" ht="16.5" hidden="false" customHeight="true" outlineLevel="0" collapsed="false">
      <c r="A162" s="32" t="n">
        <f aca="false">A161+1</f>
        <v>46463</v>
      </c>
      <c r="B162" s="33" t="str">
        <f aca="false">CHOOSE(WEEKDAY(A162),"日","月","火","水","木","金","土")</f>
        <v>水</v>
      </c>
      <c r="C162" s="33" t="str">
        <f aca="false">IF(OR(WEEKDAY(A162,2)&gt;5,COUNTIF($I$16:$I$35,A162)&gt;0),"休日","平日")</f>
        <v>平日</v>
      </c>
      <c r="D162" s="34"/>
      <c r="E162" s="33" t="str">
        <f aca="false">IF(D162&lt;&gt;"",D162,C162)</f>
        <v>平日</v>
      </c>
      <c r="F162" s="35" t="n">
        <f aca="false">IF(E162="休日",MAX(0,$B$6-$B$10),MAX(0,$B$5-$B$9))</f>
        <v>3.5</v>
      </c>
      <c r="G162" s="35" t="n">
        <f aca="false">G161+F162</f>
        <v>730.5</v>
      </c>
    </row>
    <row r="163" customFormat="false" ht="16.5" hidden="false" customHeight="true" outlineLevel="0" collapsed="false">
      <c r="A163" s="32" t="n">
        <f aca="false">A162+1</f>
        <v>46464</v>
      </c>
      <c r="B163" s="33" t="str">
        <f aca="false">CHOOSE(WEEKDAY(A163),"日","月","火","水","木","金","土")</f>
        <v>木</v>
      </c>
      <c r="C163" s="33" t="str">
        <f aca="false">IF(OR(WEEKDAY(A163,2)&gt;5,COUNTIF($I$16:$I$35,A163)&gt;0),"休日","平日")</f>
        <v>平日</v>
      </c>
      <c r="D163" s="34"/>
      <c r="E163" s="33" t="str">
        <f aca="false">IF(D163&lt;&gt;"",D163,C163)</f>
        <v>平日</v>
      </c>
      <c r="F163" s="35" t="n">
        <f aca="false">IF(E163="休日",MAX(0,$B$6-$B$10),MAX(0,$B$5-$B$9))</f>
        <v>3.5</v>
      </c>
      <c r="G163" s="35" t="n">
        <f aca="false">G162+F163</f>
        <v>734</v>
      </c>
    </row>
    <row r="164" customFormat="false" ht="16.5" hidden="false" customHeight="true" outlineLevel="0" collapsed="false">
      <c r="A164" s="32" t="n">
        <f aca="false">A163+1</f>
        <v>46465</v>
      </c>
      <c r="B164" s="33" t="str">
        <f aca="false">CHOOSE(WEEKDAY(A164),"日","月","火","水","木","金","土")</f>
        <v>金</v>
      </c>
      <c r="C164" s="33" t="str">
        <f aca="false">IF(OR(WEEKDAY(A164,2)&gt;5,COUNTIF($I$16:$I$35,A164)&gt;0),"休日","平日")</f>
        <v>平日</v>
      </c>
      <c r="D164" s="34"/>
      <c r="E164" s="33" t="str">
        <f aca="false">IF(D164&lt;&gt;"",D164,C164)</f>
        <v>平日</v>
      </c>
      <c r="F164" s="35" t="n">
        <f aca="false">IF(E164="休日",MAX(0,$B$6-$B$10),MAX(0,$B$5-$B$9))</f>
        <v>3.5</v>
      </c>
      <c r="G164" s="35" t="n">
        <f aca="false">G163+F164</f>
        <v>737.5</v>
      </c>
    </row>
    <row r="165" customFormat="false" ht="16.5" hidden="false" customHeight="true" outlineLevel="0" collapsed="false">
      <c r="A165" s="32" t="n">
        <f aca="false">A164+1</f>
        <v>46466</v>
      </c>
      <c r="B165" s="33" t="str">
        <f aca="false">CHOOSE(WEEKDAY(A165),"日","月","火","水","木","金","土")</f>
        <v>土</v>
      </c>
      <c r="C165" s="33" t="str">
        <f aca="false">IF(OR(WEEKDAY(A165,2)&gt;5,COUNTIF($I$16:$I$35,A165)&gt;0),"休日","平日")</f>
        <v>休日</v>
      </c>
      <c r="D165" s="34"/>
      <c r="E165" s="33" t="str">
        <f aca="false">IF(D165&lt;&gt;"",D165,C165)</f>
        <v>休日</v>
      </c>
      <c r="F165" s="35" t="n">
        <f aca="false">IF(E165="休日",MAX(0,$B$6-$B$10),MAX(0,$B$5-$B$9))</f>
        <v>8</v>
      </c>
      <c r="G165" s="35" t="n">
        <f aca="false">G164+F165</f>
        <v>745.5</v>
      </c>
    </row>
    <row r="166" customFormat="false" ht="16.5" hidden="false" customHeight="true" outlineLevel="0" collapsed="false">
      <c r="A166" s="32" t="n">
        <f aca="false">A165+1</f>
        <v>46467</v>
      </c>
      <c r="B166" s="33" t="str">
        <f aca="false">CHOOSE(WEEKDAY(A166),"日","月","火","水","木","金","土")</f>
        <v>日</v>
      </c>
      <c r="C166" s="33" t="str">
        <f aca="false">IF(OR(WEEKDAY(A166,2)&gt;5,COUNTIF($I$16:$I$35,A166)&gt;0),"休日","平日")</f>
        <v>休日</v>
      </c>
      <c r="D166" s="34"/>
      <c r="E166" s="33" t="str">
        <f aca="false">IF(D166&lt;&gt;"",D166,C166)</f>
        <v>休日</v>
      </c>
      <c r="F166" s="35" t="n">
        <f aca="false">IF(E166="休日",MAX(0,$B$6-$B$10),MAX(0,$B$5-$B$9))</f>
        <v>8</v>
      </c>
      <c r="G166" s="35" t="n">
        <f aca="false">G165+F166</f>
        <v>753.5</v>
      </c>
    </row>
    <row r="167" customFormat="false" ht="16.5" hidden="false" customHeight="true" outlineLevel="0" collapsed="false">
      <c r="A167" s="32" t="n">
        <f aca="false">A166+1</f>
        <v>46468</v>
      </c>
      <c r="B167" s="33" t="str">
        <f aca="false">CHOOSE(WEEKDAY(A167),"日","月","火","水","木","金","土")</f>
        <v>月</v>
      </c>
      <c r="C167" s="33" t="str">
        <f aca="false">IF(OR(WEEKDAY(A167,2)&gt;5,COUNTIF($I$16:$I$35,A167)&gt;0),"休日","平日")</f>
        <v>平日</v>
      </c>
      <c r="D167" s="34"/>
      <c r="E167" s="33" t="str">
        <f aca="false">IF(D167&lt;&gt;"",D167,C167)</f>
        <v>平日</v>
      </c>
      <c r="F167" s="35" t="n">
        <f aca="false">IF(E167="休日",MAX(0,$B$6-$B$10),MAX(0,$B$5-$B$9))</f>
        <v>3.5</v>
      </c>
      <c r="G167" s="35" t="n">
        <f aca="false">G166+F167</f>
        <v>757</v>
      </c>
    </row>
    <row r="168" customFormat="false" ht="16.5" hidden="false" customHeight="true" outlineLevel="0" collapsed="false">
      <c r="A168" s="32" t="n">
        <f aca="false">A167+1</f>
        <v>46469</v>
      </c>
      <c r="B168" s="33" t="str">
        <f aca="false">CHOOSE(WEEKDAY(A168),"日","月","火","水","木","金","土")</f>
        <v>火</v>
      </c>
      <c r="C168" s="33" t="str">
        <f aca="false">IF(OR(WEEKDAY(A168,2)&gt;5,COUNTIF($I$16:$I$35,A168)&gt;0),"休日","平日")</f>
        <v>平日</v>
      </c>
      <c r="D168" s="34"/>
      <c r="E168" s="33" t="str">
        <f aca="false">IF(D168&lt;&gt;"",D168,C168)</f>
        <v>平日</v>
      </c>
      <c r="F168" s="35" t="n">
        <f aca="false">IF(E168="休日",MAX(0,$B$6-$B$10),MAX(0,$B$5-$B$9))</f>
        <v>3.5</v>
      </c>
      <c r="G168" s="35" t="n">
        <f aca="false">G167+F168</f>
        <v>760.5</v>
      </c>
    </row>
    <row r="169" customFormat="false" ht="16.5" hidden="false" customHeight="true" outlineLevel="0" collapsed="false">
      <c r="A169" s="32" t="n">
        <f aca="false">A168+1</f>
        <v>46470</v>
      </c>
      <c r="B169" s="33" t="str">
        <f aca="false">CHOOSE(WEEKDAY(A169),"日","月","火","水","木","金","土")</f>
        <v>水</v>
      </c>
      <c r="C169" s="33" t="str">
        <f aca="false">IF(OR(WEEKDAY(A169,2)&gt;5,COUNTIF($I$16:$I$35,A169)&gt;0),"休日","平日")</f>
        <v>平日</v>
      </c>
      <c r="D169" s="34"/>
      <c r="E169" s="33" t="str">
        <f aca="false">IF(D169&lt;&gt;"",D169,C169)</f>
        <v>平日</v>
      </c>
      <c r="F169" s="35" t="n">
        <f aca="false">IF(E169="休日",MAX(0,$B$6-$B$10),MAX(0,$B$5-$B$9))</f>
        <v>3.5</v>
      </c>
      <c r="G169" s="35" t="n">
        <f aca="false">G168+F169</f>
        <v>764</v>
      </c>
    </row>
    <row r="170" customFormat="false" ht="16.5" hidden="false" customHeight="true" outlineLevel="0" collapsed="false">
      <c r="A170" s="32" t="n">
        <f aca="false">A169+1</f>
        <v>46471</v>
      </c>
      <c r="B170" s="33" t="str">
        <f aca="false">CHOOSE(WEEKDAY(A170),"日","月","火","水","木","金","土")</f>
        <v>木</v>
      </c>
      <c r="C170" s="33" t="str">
        <f aca="false">IF(OR(WEEKDAY(A170,2)&gt;5,COUNTIF($I$16:$I$35,A170)&gt;0),"休日","平日")</f>
        <v>平日</v>
      </c>
      <c r="D170" s="34"/>
      <c r="E170" s="33" t="str">
        <f aca="false">IF(D170&lt;&gt;"",D170,C170)</f>
        <v>平日</v>
      </c>
      <c r="F170" s="35" t="n">
        <f aca="false">IF(E170="休日",MAX(0,$B$6-$B$10),MAX(0,$B$5-$B$9))</f>
        <v>3.5</v>
      </c>
      <c r="G170" s="35" t="n">
        <f aca="false">G169+F170</f>
        <v>767.5</v>
      </c>
    </row>
    <row r="171" customFormat="false" ht="16.5" hidden="false" customHeight="true" outlineLevel="0" collapsed="false">
      <c r="A171" s="32" t="n">
        <f aca="false">A170+1</f>
        <v>46472</v>
      </c>
      <c r="B171" s="33" t="str">
        <f aca="false">CHOOSE(WEEKDAY(A171),"日","月","火","水","木","金","土")</f>
        <v>金</v>
      </c>
      <c r="C171" s="33" t="str">
        <f aca="false">IF(OR(WEEKDAY(A171,2)&gt;5,COUNTIF($I$16:$I$35,A171)&gt;0),"休日","平日")</f>
        <v>平日</v>
      </c>
      <c r="D171" s="34"/>
      <c r="E171" s="33" t="str">
        <f aca="false">IF(D171&lt;&gt;"",D171,C171)</f>
        <v>平日</v>
      </c>
      <c r="F171" s="35" t="n">
        <f aca="false">IF(E171="休日",MAX(0,$B$6-$B$10),MAX(0,$B$5-$B$9))</f>
        <v>3.5</v>
      </c>
      <c r="G171" s="35" t="n">
        <f aca="false">G170+F171</f>
        <v>771</v>
      </c>
    </row>
    <row r="172" customFormat="false" ht="16.5" hidden="false" customHeight="true" outlineLevel="0" collapsed="false">
      <c r="A172" s="32" t="n">
        <f aca="false">A171+1</f>
        <v>46473</v>
      </c>
      <c r="B172" s="33" t="str">
        <f aca="false">CHOOSE(WEEKDAY(A172),"日","月","火","水","木","金","土")</f>
        <v>土</v>
      </c>
      <c r="C172" s="33" t="str">
        <f aca="false">IF(OR(WEEKDAY(A172,2)&gt;5,COUNTIF($I$16:$I$35,A172)&gt;0),"休日","平日")</f>
        <v>休日</v>
      </c>
      <c r="D172" s="34"/>
      <c r="E172" s="33" t="str">
        <f aca="false">IF(D172&lt;&gt;"",D172,C172)</f>
        <v>休日</v>
      </c>
      <c r="F172" s="35" t="n">
        <f aca="false">IF(E172="休日",MAX(0,$B$6-$B$10),MAX(0,$B$5-$B$9))</f>
        <v>8</v>
      </c>
      <c r="G172" s="35" t="n">
        <f aca="false">G171+F172</f>
        <v>779</v>
      </c>
    </row>
    <row r="173" customFormat="false" ht="16.5" hidden="false" customHeight="true" outlineLevel="0" collapsed="false">
      <c r="A173" s="32" t="n">
        <f aca="false">A172+1</f>
        <v>46474</v>
      </c>
      <c r="B173" s="33" t="str">
        <f aca="false">CHOOSE(WEEKDAY(A173),"日","月","火","水","木","金","土")</f>
        <v>日</v>
      </c>
      <c r="C173" s="33" t="str">
        <f aca="false">IF(OR(WEEKDAY(A173,2)&gt;5,COUNTIF($I$16:$I$35,A173)&gt;0),"休日","平日")</f>
        <v>休日</v>
      </c>
      <c r="D173" s="34"/>
      <c r="E173" s="33" t="str">
        <f aca="false">IF(D173&lt;&gt;"",D173,C173)</f>
        <v>休日</v>
      </c>
      <c r="F173" s="35" t="n">
        <f aca="false">IF(E173="休日",MAX(0,$B$6-$B$10),MAX(0,$B$5-$B$9))</f>
        <v>8</v>
      </c>
      <c r="G173" s="35" t="n">
        <f aca="false">G172+F173</f>
        <v>787</v>
      </c>
    </row>
    <row r="174" customFormat="false" ht="16.5" hidden="false" customHeight="true" outlineLevel="0" collapsed="false">
      <c r="A174" s="32" t="n">
        <f aca="false">A173+1</f>
        <v>46475</v>
      </c>
      <c r="B174" s="33" t="str">
        <f aca="false">CHOOSE(WEEKDAY(A174),"日","月","火","水","木","金","土")</f>
        <v>月</v>
      </c>
      <c r="C174" s="33" t="str">
        <f aca="false">IF(OR(WEEKDAY(A174,2)&gt;5,COUNTIF($I$16:$I$35,A174)&gt;0),"休日","平日")</f>
        <v>平日</v>
      </c>
      <c r="D174" s="34"/>
      <c r="E174" s="33" t="str">
        <f aca="false">IF(D174&lt;&gt;"",D174,C174)</f>
        <v>平日</v>
      </c>
      <c r="F174" s="35" t="n">
        <f aca="false">IF(E174="休日",MAX(0,$B$6-$B$10),MAX(0,$B$5-$B$9))</f>
        <v>3.5</v>
      </c>
      <c r="G174" s="35" t="n">
        <f aca="false">G173+F174</f>
        <v>790.5</v>
      </c>
    </row>
    <row r="175" customFormat="false" ht="16.5" hidden="false" customHeight="true" outlineLevel="0" collapsed="false">
      <c r="A175" s="32" t="n">
        <f aca="false">A174+1</f>
        <v>46476</v>
      </c>
      <c r="B175" s="33" t="str">
        <f aca="false">CHOOSE(WEEKDAY(A175),"日","月","火","水","木","金","土")</f>
        <v>火</v>
      </c>
      <c r="C175" s="33" t="str">
        <f aca="false">IF(OR(WEEKDAY(A175,2)&gt;5,COUNTIF($I$16:$I$35,A175)&gt;0),"休日","平日")</f>
        <v>平日</v>
      </c>
      <c r="D175" s="34"/>
      <c r="E175" s="33" t="str">
        <f aca="false">IF(D175&lt;&gt;"",D175,C175)</f>
        <v>平日</v>
      </c>
      <c r="F175" s="35" t="n">
        <f aca="false">IF(E175="休日",MAX(0,$B$6-$B$10),MAX(0,$B$5-$B$9))</f>
        <v>3.5</v>
      </c>
      <c r="G175" s="35" t="n">
        <f aca="false">G174+F175</f>
        <v>794</v>
      </c>
    </row>
    <row r="176" customFormat="false" ht="16.5" hidden="false" customHeight="true" outlineLevel="0" collapsed="false">
      <c r="A176" s="32" t="n">
        <f aca="false">A175+1</f>
        <v>46477</v>
      </c>
      <c r="B176" s="33" t="str">
        <f aca="false">CHOOSE(WEEKDAY(A176),"日","月","火","水","木","金","土")</f>
        <v>水</v>
      </c>
      <c r="C176" s="33" t="str">
        <f aca="false">IF(OR(WEEKDAY(A176,2)&gt;5,COUNTIF($I$16:$I$35,A176)&gt;0),"休日","平日")</f>
        <v>平日</v>
      </c>
      <c r="D176" s="34"/>
      <c r="E176" s="33" t="str">
        <f aca="false">IF(D176&lt;&gt;"",D176,C176)</f>
        <v>平日</v>
      </c>
      <c r="F176" s="35" t="n">
        <f aca="false">IF(E176="休日",MAX(0,$B$6-$B$10),MAX(0,$B$5-$B$9))</f>
        <v>3.5</v>
      </c>
      <c r="G176" s="35" t="n">
        <f aca="false">G175+F176</f>
        <v>797.5</v>
      </c>
    </row>
    <row r="177" customFormat="false" ht="16.5" hidden="false" customHeight="true" outlineLevel="0" collapsed="false">
      <c r="A177" s="32" t="n">
        <f aca="false">A176+1</f>
        <v>46478</v>
      </c>
      <c r="B177" s="33" t="str">
        <f aca="false">CHOOSE(WEEKDAY(A177),"日","月","火","水","木","金","土")</f>
        <v>木</v>
      </c>
      <c r="C177" s="33" t="str">
        <f aca="false">IF(OR(WEEKDAY(A177,2)&gt;5,COUNTIF($I$16:$I$35,A177)&gt;0),"休日","平日")</f>
        <v>平日</v>
      </c>
      <c r="D177" s="34"/>
      <c r="E177" s="33" t="str">
        <f aca="false">IF(D177&lt;&gt;"",D177,C177)</f>
        <v>平日</v>
      </c>
      <c r="F177" s="35" t="n">
        <f aca="false">IF(E177="休日",MAX(0,$B$6-$B$10),MAX(0,$B$5-$B$9))</f>
        <v>3.5</v>
      </c>
      <c r="G177" s="35" t="n">
        <f aca="false">G176+F177</f>
        <v>801</v>
      </c>
    </row>
    <row r="178" customFormat="false" ht="16.5" hidden="false" customHeight="true" outlineLevel="0" collapsed="false">
      <c r="A178" s="32" t="n">
        <f aca="false">A177+1</f>
        <v>46479</v>
      </c>
      <c r="B178" s="33" t="str">
        <f aca="false">CHOOSE(WEEKDAY(A178),"日","月","火","水","木","金","土")</f>
        <v>金</v>
      </c>
      <c r="C178" s="33" t="str">
        <f aca="false">IF(OR(WEEKDAY(A178,2)&gt;5,COUNTIF($I$16:$I$35,A178)&gt;0),"休日","平日")</f>
        <v>平日</v>
      </c>
      <c r="D178" s="34"/>
      <c r="E178" s="33" t="str">
        <f aca="false">IF(D178&lt;&gt;"",D178,C178)</f>
        <v>平日</v>
      </c>
      <c r="F178" s="35" t="n">
        <f aca="false">IF(E178="休日",MAX(0,$B$6-$B$10),MAX(0,$B$5-$B$9))</f>
        <v>3.5</v>
      </c>
      <c r="G178" s="35" t="n">
        <f aca="false">G177+F178</f>
        <v>804.5</v>
      </c>
    </row>
    <row r="179" customFormat="false" ht="16.5" hidden="false" customHeight="true" outlineLevel="0" collapsed="false">
      <c r="A179" s="32" t="n">
        <f aca="false">A178+1</f>
        <v>46480</v>
      </c>
      <c r="B179" s="33" t="str">
        <f aca="false">CHOOSE(WEEKDAY(A179),"日","月","火","水","木","金","土")</f>
        <v>土</v>
      </c>
      <c r="C179" s="33" t="str">
        <f aca="false">IF(OR(WEEKDAY(A179,2)&gt;5,COUNTIF($I$16:$I$35,A179)&gt;0),"休日","平日")</f>
        <v>休日</v>
      </c>
      <c r="D179" s="34"/>
      <c r="E179" s="33" t="str">
        <f aca="false">IF(D179&lt;&gt;"",D179,C179)</f>
        <v>休日</v>
      </c>
      <c r="F179" s="35" t="n">
        <f aca="false">IF(E179="休日",MAX(0,$B$6-$B$10),MAX(0,$B$5-$B$9))</f>
        <v>8</v>
      </c>
      <c r="G179" s="35" t="n">
        <f aca="false">G178+F179</f>
        <v>812.5</v>
      </c>
    </row>
    <row r="180" customFormat="false" ht="16.5" hidden="false" customHeight="true" outlineLevel="0" collapsed="false">
      <c r="A180" s="32" t="n">
        <f aca="false">A179+1</f>
        <v>46481</v>
      </c>
      <c r="B180" s="33" t="str">
        <f aca="false">CHOOSE(WEEKDAY(A180),"日","月","火","水","木","金","土")</f>
        <v>日</v>
      </c>
      <c r="C180" s="33" t="str">
        <f aca="false">IF(OR(WEEKDAY(A180,2)&gt;5,COUNTIF($I$16:$I$35,A180)&gt;0),"休日","平日")</f>
        <v>休日</v>
      </c>
      <c r="D180" s="34"/>
      <c r="E180" s="33" t="str">
        <f aca="false">IF(D180&lt;&gt;"",D180,C180)</f>
        <v>休日</v>
      </c>
      <c r="F180" s="35" t="n">
        <f aca="false">IF(E180="休日",MAX(0,$B$6-$B$10),MAX(0,$B$5-$B$9))</f>
        <v>8</v>
      </c>
      <c r="G180" s="35" t="n">
        <f aca="false">G179+F180</f>
        <v>820.5</v>
      </c>
    </row>
    <row r="181" customFormat="false" ht="16.5" hidden="false" customHeight="true" outlineLevel="0" collapsed="false">
      <c r="A181" s="32" t="n">
        <f aca="false">A180+1</f>
        <v>46482</v>
      </c>
      <c r="B181" s="33" t="str">
        <f aca="false">CHOOSE(WEEKDAY(A181),"日","月","火","水","木","金","土")</f>
        <v>月</v>
      </c>
      <c r="C181" s="33" t="str">
        <f aca="false">IF(OR(WEEKDAY(A181,2)&gt;5,COUNTIF($I$16:$I$35,A181)&gt;0),"休日","平日")</f>
        <v>平日</v>
      </c>
      <c r="D181" s="34"/>
      <c r="E181" s="33" t="str">
        <f aca="false">IF(D181&lt;&gt;"",D181,C181)</f>
        <v>平日</v>
      </c>
      <c r="F181" s="35" t="n">
        <f aca="false">IF(E181="休日",MAX(0,$B$6-$B$10),MAX(0,$B$5-$B$9))</f>
        <v>3.5</v>
      </c>
      <c r="G181" s="35" t="n">
        <f aca="false">G180+F181</f>
        <v>824</v>
      </c>
    </row>
    <row r="182" customFormat="false" ht="16.5" hidden="false" customHeight="true" outlineLevel="0" collapsed="false">
      <c r="A182" s="32" t="n">
        <f aca="false">A181+1</f>
        <v>46483</v>
      </c>
      <c r="B182" s="33" t="str">
        <f aca="false">CHOOSE(WEEKDAY(A182),"日","月","火","水","木","金","土")</f>
        <v>火</v>
      </c>
      <c r="C182" s="33" t="str">
        <f aca="false">IF(OR(WEEKDAY(A182,2)&gt;5,COUNTIF($I$16:$I$35,A182)&gt;0),"休日","平日")</f>
        <v>平日</v>
      </c>
      <c r="D182" s="34"/>
      <c r="E182" s="33" t="str">
        <f aca="false">IF(D182&lt;&gt;"",D182,C182)</f>
        <v>平日</v>
      </c>
      <c r="F182" s="35" t="n">
        <f aca="false">IF(E182="休日",MAX(0,$B$6-$B$10),MAX(0,$B$5-$B$9))</f>
        <v>3.5</v>
      </c>
      <c r="G182" s="35" t="n">
        <f aca="false">G181+F182</f>
        <v>827.5</v>
      </c>
    </row>
    <row r="183" customFormat="false" ht="16.5" hidden="false" customHeight="true" outlineLevel="0" collapsed="false">
      <c r="A183" s="32" t="n">
        <f aca="false">A182+1</f>
        <v>46484</v>
      </c>
      <c r="B183" s="33" t="str">
        <f aca="false">CHOOSE(WEEKDAY(A183),"日","月","火","水","木","金","土")</f>
        <v>水</v>
      </c>
      <c r="C183" s="33" t="str">
        <f aca="false">IF(OR(WEEKDAY(A183,2)&gt;5,COUNTIF($I$16:$I$35,A183)&gt;0),"休日","平日")</f>
        <v>平日</v>
      </c>
      <c r="D183" s="34"/>
      <c r="E183" s="33" t="str">
        <f aca="false">IF(D183&lt;&gt;"",D183,C183)</f>
        <v>平日</v>
      </c>
      <c r="F183" s="35" t="n">
        <f aca="false">IF(E183="休日",MAX(0,$B$6-$B$10),MAX(0,$B$5-$B$9))</f>
        <v>3.5</v>
      </c>
      <c r="G183" s="35" t="n">
        <f aca="false">G182+F183</f>
        <v>831</v>
      </c>
    </row>
    <row r="184" customFormat="false" ht="16.5" hidden="false" customHeight="true" outlineLevel="0" collapsed="false">
      <c r="A184" s="32" t="n">
        <f aca="false">A183+1</f>
        <v>46485</v>
      </c>
      <c r="B184" s="33" t="str">
        <f aca="false">CHOOSE(WEEKDAY(A184),"日","月","火","水","木","金","土")</f>
        <v>木</v>
      </c>
      <c r="C184" s="33" t="str">
        <f aca="false">IF(OR(WEEKDAY(A184,2)&gt;5,COUNTIF($I$16:$I$35,A184)&gt;0),"休日","平日")</f>
        <v>平日</v>
      </c>
      <c r="D184" s="34"/>
      <c r="E184" s="33" t="str">
        <f aca="false">IF(D184&lt;&gt;"",D184,C184)</f>
        <v>平日</v>
      </c>
      <c r="F184" s="35" t="n">
        <f aca="false">IF(E184="休日",MAX(0,$B$6-$B$10),MAX(0,$B$5-$B$9))</f>
        <v>3.5</v>
      </c>
      <c r="G184" s="35" t="n">
        <f aca="false">G183+F184</f>
        <v>834.5</v>
      </c>
    </row>
    <row r="185" customFormat="false" ht="16.5" hidden="false" customHeight="true" outlineLevel="0" collapsed="false">
      <c r="A185" s="32" t="n">
        <f aca="false">A184+1</f>
        <v>46486</v>
      </c>
      <c r="B185" s="33" t="str">
        <f aca="false">CHOOSE(WEEKDAY(A185),"日","月","火","水","木","金","土")</f>
        <v>金</v>
      </c>
      <c r="C185" s="33" t="str">
        <f aca="false">IF(OR(WEEKDAY(A185,2)&gt;5,COUNTIF($I$16:$I$35,A185)&gt;0),"休日","平日")</f>
        <v>平日</v>
      </c>
      <c r="D185" s="34"/>
      <c r="E185" s="33" t="str">
        <f aca="false">IF(D185&lt;&gt;"",D185,C185)</f>
        <v>平日</v>
      </c>
      <c r="F185" s="35" t="n">
        <f aca="false">IF(E185="休日",MAX(0,$B$6-$B$10),MAX(0,$B$5-$B$9))</f>
        <v>3.5</v>
      </c>
      <c r="G185" s="35" t="n">
        <f aca="false">G184+F185</f>
        <v>838</v>
      </c>
    </row>
    <row r="186" customFormat="false" ht="16.5" hidden="false" customHeight="true" outlineLevel="0" collapsed="false">
      <c r="A186" s="32" t="n">
        <f aca="false">A185+1</f>
        <v>46487</v>
      </c>
      <c r="B186" s="33" t="str">
        <f aca="false">CHOOSE(WEEKDAY(A186),"日","月","火","水","木","金","土")</f>
        <v>土</v>
      </c>
      <c r="C186" s="33" t="str">
        <f aca="false">IF(OR(WEEKDAY(A186,2)&gt;5,COUNTIF($I$16:$I$35,A186)&gt;0),"休日","平日")</f>
        <v>休日</v>
      </c>
      <c r="D186" s="34"/>
      <c r="E186" s="33" t="str">
        <f aca="false">IF(D186&lt;&gt;"",D186,C186)</f>
        <v>休日</v>
      </c>
      <c r="F186" s="35" t="n">
        <f aca="false">IF(E186="休日",MAX(0,$B$6-$B$10),MAX(0,$B$5-$B$9))</f>
        <v>8</v>
      </c>
      <c r="G186" s="35" t="n">
        <f aca="false">G185+F186</f>
        <v>846</v>
      </c>
    </row>
    <row r="187" customFormat="false" ht="16.5" hidden="false" customHeight="true" outlineLevel="0" collapsed="false">
      <c r="A187" s="32" t="n">
        <f aca="false">A186+1</f>
        <v>46488</v>
      </c>
      <c r="B187" s="33" t="str">
        <f aca="false">CHOOSE(WEEKDAY(A187),"日","月","火","水","木","金","土")</f>
        <v>日</v>
      </c>
      <c r="C187" s="33" t="str">
        <f aca="false">IF(OR(WEEKDAY(A187,2)&gt;5,COUNTIF($I$16:$I$35,A187)&gt;0),"休日","平日")</f>
        <v>休日</v>
      </c>
      <c r="D187" s="34"/>
      <c r="E187" s="33" t="str">
        <f aca="false">IF(D187&lt;&gt;"",D187,C187)</f>
        <v>休日</v>
      </c>
      <c r="F187" s="35" t="n">
        <f aca="false">IF(E187="休日",MAX(0,$B$6-$B$10),MAX(0,$B$5-$B$9))</f>
        <v>8</v>
      </c>
      <c r="G187" s="35" t="n">
        <f aca="false">G186+F187</f>
        <v>854</v>
      </c>
    </row>
    <row r="188" customFormat="false" ht="16.5" hidden="false" customHeight="true" outlineLevel="0" collapsed="false">
      <c r="A188" s="32" t="n">
        <f aca="false">A187+1</f>
        <v>46489</v>
      </c>
      <c r="B188" s="33" t="str">
        <f aca="false">CHOOSE(WEEKDAY(A188),"日","月","火","水","木","金","土")</f>
        <v>月</v>
      </c>
      <c r="C188" s="33" t="str">
        <f aca="false">IF(OR(WEEKDAY(A188,2)&gt;5,COUNTIF($I$16:$I$35,A188)&gt;0),"休日","平日")</f>
        <v>平日</v>
      </c>
      <c r="D188" s="34"/>
      <c r="E188" s="33" t="str">
        <f aca="false">IF(D188&lt;&gt;"",D188,C188)</f>
        <v>平日</v>
      </c>
      <c r="F188" s="35" t="n">
        <f aca="false">IF(E188="休日",MAX(0,$B$6-$B$10),MAX(0,$B$5-$B$9))</f>
        <v>3.5</v>
      </c>
      <c r="G188" s="35" t="n">
        <f aca="false">G187+F188</f>
        <v>857.5</v>
      </c>
    </row>
    <row r="189" customFormat="false" ht="16.5" hidden="false" customHeight="true" outlineLevel="0" collapsed="false">
      <c r="A189" s="32" t="n">
        <f aca="false">A188+1</f>
        <v>46490</v>
      </c>
      <c r="B189" s="33" t="str">
        <f aca="false">CHOOSE(WEEKDAY(A189),"日","月","火","水","木","金","土")</f>
        <v>火</v>
      </c>
      <c r="C189" s="33" t="str">
        <f aca="false">IF(OR(WEEKDAY(A189,2)&gt;5,COUNTIF($I$16:$I$35,A189)&gt;0),"休日","平日")</f>
        <v>平日</v>
      </c>
      <c r="D189" s="34"/>
      <c r="E189" s="33" t="str">
        <f aca="false">IF(D189&lt;&gt;"",D189,C189)</f>
        <v>平日</v>
      </c>
      <c r="F189" s="35" t="n">
        <f aca="false">IF(E189="休日",MAX(0,$B$6-$B$10),MAX(0,$B$5-$B$9))</f>
        <v>3.5</v>
      </c>
      <c r="G189" s="35" t="n">
        <f aca="false">G188+F189</f>
        <v>861</v>
      </c>
    </row>
    <row r="190" customFormat="false" ht="16.5" hidden="false" customHeight="true" outlineLevel="0" collapsed="false">
      <c r="A190" s="32" t="n">
        <f aca="false">A189+1</f>
        <v>46491</v>
      </c>
      <c r="B190" s="33" t="str">
        <f aca="false">CHOOSE(WEEKDAY(A190),"日","月","火","水","木","金","土")</f>
        <v>水</v>
      </c>
      <c r="C190" s="33" t="str">
        <f aca="false">IF(OR(WEEKDAY(A190,2)&gt;5,COUNTIF($I$16:$I$35,A190)&gt;0),"休日","平日")</f>
        <v>平日</v>
      </c>
      <c r="D190" s="34"/>
      <c r="E190" s="33" t="str">
        <f aca="false">IF(D190&lt;&gt;"",D190,C190)</f>
        <v>平日</v>
      </c>
      <c r="F190" s="35" t="n">
        <f aca="false">IF(E190="休日",MAX(0,$B$6-$B$10),MAX(0,$B$5-$B$9))</f>
        <v>3.5</v>
      </c>
      <c r="G190" s="35" t="n">
        <f aca="false">G189+F190</f>
        <v>864.5</v>
      </c>
    </row>
    <row r="191" customFormat="false" ht="16.5" hidden="false" customHeight="true" outlineLevel="0" collapsed="false">
      <c r="A191" s="32" t="n">
        <f aca="false">A190+1</f>
        <v>46492</v>
      </c>
      <c r="B191" s="33" t="str">
        <f aca="false">CHOOSE(WEEKDAY(A191),"日","月","火","水","木","金","土")</f>
        <v>木</v>
      </c>
      <c r="C191" s="33" t="str">
        <f aca="false">IF(OR(WEEKDAY(A191,2)&gt;5,COUNTIF($I$16:$I$35,A191)&gt;0),"休日","平日")</f>
        <v>平日</v>
      </c>
      <c r="D191" s="34"/>
      <c r="E191" s="33" t="str">
        <f aca="false">IF(D191&lt;&gt;"",D191,C191)</f>
        <v>平日</v>
      </c>
      <c r="F191" s="35" t="n">
        <f aca="false">IF(E191="休日",MAX(0,$B$6-$B$10),MAX(0,$B$5-$B$9))</f>
        <v>3.5</v>
      </c>
      <c r="G191" s="35" t="n">
        <f aca="false">G190+F191</f>
        <v>868</v>
      </c>
    </row>
    <row r="192" customFormat="false" ht="16.5" hidden="false" customHeight="true" outlineLevel="0" collapsed="false">
      <c r="A192" s="32" t="n">
        <f aca="false">A191+1</f>
        <v>46493</v>
      </c>
      <c r="B192" s="33" t="str">
        <f aca="false">CHOOSE(WEEKDAY(A192),"日","月","火","水","木","金","土")</f>
        <v>金</v>
      </c>
      <c r="C192" s="33" t="str">
        <f aca="false">IF(OR(WEEKDAY(A192,2)&gt;5,COUNTIF($I$16:$I$35,A192)&gt;0),"休日","平日")</f>
        <v>平日</v>
      </c>
      <c r="D192" s="34"/>
      <c r="E192" s="33" t="str">
        <f aca="false">IF(D192&lt;&gt;"",D192,C192)</f>
        <v>平日</v>
      </c>
      <c r="F192" s="35" t="n">
        <f aca="false">IF(E192="休日",MAX(0,$B$6-$B$10),MAX(0,$B$5-$B$9))</f>
        <v>3.5</v>
      </c>
      <c r="G192" s="35" t="n">
        <f aca="false">G191+F192</f>
        <v>871.5</v>
      </c>
    </row>
    <row r="193" customFormat="false" ht="16.5" hidden="false" customHeight="true" outlineLevel="0" collapsed="false">
      <c r="A193" s="32" t="n">
        <f aca="false">A192+1</f>
        <v>46494</v>
      </c>
      <c r="B193" s="33" t="str">
        <f aca="false">CHOOSE(WEEKDAY(A193),"日","月","火","水","木","金","土")</f>
        <v>土</v>
      </c>
      <c r="C193" s="33" t="str">
        <f aca="false">IF(OR(WEEKDAY(A193,2)&gt;5,COUNTIF($I$16:$I$35,A193)&gt;0),"休日","平日")</f>
        <v>休日</v>
      </c>
      <c r="D193" s="34"/>
      <c r="E193" s="33" t="str">
        <f aca="false">IF(D193&lt;&gt;"",D193,C193)</f>
        <v>休日</v>
      </c>
      <c r="F193" s="35" t="n">
        <f aca="false">IF(E193="休日",MAX(0,$B$6-$B$10),MAX(0,$B$5-$B$9))</f>
        <v>8</v>
      </c>
      <c r="G193" s="35" t="n">
        <f aca="false">G192+F193</f>
        <v>879.5</v>
      </c>
    </row>
    <row r="194" customFormat="false" ht="16.5" hidden="false" customHeight="true" outlineLevel="0" collapsed="false">
      <c r="A194" s="32" t="n">
        <f aca="false">A193+1</f>
        <v>46495</v>
      </c>
      <c r="B194" s="33" t="str">
        <f aca="false">CHOOSE(WEEKDAY(A194),"日","月","火","水","木","金","土")</f>
        <v>日</v>
      </c>
      <c r="C194" s="33" t="str">
        <f aca="false">IF(OR(WEEKDAY(A194,2)&gt;5,COUNTIF($I$16:$I$35,A194)&gt;0),"休日","平日")</f>
        <v>休日</v>
      </c>
      <c r="D194" s="34"/>
      <c r="E194" s="33" t="str">
        <f aca="false">IF(D194&lt;&gt;"",D194,C194)</f>
        <v>休日</v>
      </c>
      <c r="F194" s="35" t="n">
        <f aca="false">IF(E194="休日",MAX(0,$B$6-$B$10),MAX(0,$B$5-$B$9))</f>
        <v>8</v>
      </c>
      <c r="G194" s="35" t="n">
        <f aca="false">G193+F194</f>
        <v>887.5</v>
      </c>
    </row>
    <row r="195" customFormat="false" ht="16.5" hidden="false" customHeight="true" outlineLevel="0" collapsed="false">
      <c r="A195" s="32" t="n">
        <f aca="false">A194+1</f>
        <v>46496</v>
      </c>
      <c r="B195" s="33" t="str">
        <f aca="false">CHOOSE(WEEKDAY(A195),"日","月","火","水","木","金","土")</f>
        <v>月</v>
      </c>
      <c r="C195" s="33" t="str">
        <f aca="false">IF(OR(WEEKDAY(A195,2)&gt;5,COUNTIF($I$16:$I$35,A195)&gt;0),"休日","平日")</f>
        <v>平日</v>
      </c>
      <c r="D195" s="34"/>
      <c r="E195" s="33" t="str">
        <f aca="false">IF(D195&lt;&gt;"",D195,C195)</f>
        <v>平日</v>
      </c>
      <c r="F195" s="35" t="n">
        <f aca="false">IF(E195="休日",MAX(0,$B$6-$B$10),MAX(0,$B$5-$B$9))</f>
        <v>3.5</v>
      </c>
      <c r="G195" s="35" t="n">
        <f aca="false">G194+F195</f>
        <v>891</v>
      </c>
    </row>
    <row r="196" customFormat="false" ht="16.5" hidden="false" customHeight="true" outlineLevel="0" collapsed="false">
      <c r="A196" s="32" t="n">
        <f aca="false">A195+1</f>
        <v>46497</v>
      </c>
      <c r="B196" s="33" t="str">
        <f aca="false">CHOOSE(WEEKDAY(A196),"日","月","火","水","木","金","土")</f>
        <v>火</v>
      </c>
      <c r="C196" s="33" t="str">
        <f aca="false">IF(OR(WEEKDAY(A196,2)&gt;5,COUNTIF($I$16:$I$35,A196)&gt;0),"休日","平日")</f>
        <v>平日</v>
      </c>
      <c r="D196" s="34"/>
      <c r="E196" s="33" t="str">
        <f aca="false">IF(D196&lt;&gt;"",D196,C196)</f>
        <v>平日</v>
      </c>
      <c r="F196" s="35" t="n">
        <f aca="false">IF(E196="休日",MAX(0,$B$6-$B$10),MAX(0,$B$5-$B$9))</f>
        <v>3.5</v>
      </c>
      <c r="G196" s="35" t="n">
        <f aca="false">G195+F196</f>
        <v>894.5</v>
      </c>
    </row>
    <row r="197" customFormat="false" ht="16.5" hidden="false" customHeight="true" outlineLevel="0" collapsed="false">
      <c r="A197" s="32" t="n">
        <f aca="false">A196+1</f>
        <v>46498</v>
      </c>
      <c r="B197" s="33" t="str">
        <f aca="false">CHOOSE(WEEKDAY(A197),"日","月","火","水","木","金","土")</f>
        <v>水</v>
      </c>
      <c r="C197" s="33" t="str">
        <f aca="false">IF(OR(WEEKDAY(A197,2)&gt;5,COUNTIF($I$16:$I$35,A197)&gt;0),"休日","平日")</f>
        <v>平日</v>
      </c>
      <c r="D197" s="34"/>
      <c r="E197" s="33" t="str">
        <f aca="false">IF(D197&lt;&gt;"",D197,C197)</f>
        <v>平日</v>
      </c>
      <c r="F197" s="35" t="n">
        <f aca="false">IF(E197="休日",MAX(0,$B$6-$B$10),MAX(0,$B$5-$B$9))</f>
        <v>3.5</v>
      </c>
      <c r="G197" s="35" t="n">
        <f aca="false">G196+F197</f>
        <v>898</v>
      </c>
    </row>
    <row r="198" customFormat="false" ht="16.5" hidden="false" customHeight="true" outlineLevel="0" collapsed="false">
      <c r="A198" s="32" t="n">
        <f aca="false">A197+1</f>
        <v>46499</v>
      </c>
      <c r="B198" s="33" t="str">
        <f aca="false">CHOOSE(WEEKDAY(A198),"日","月","火","水","木","金","土")</f>
        <v>木</v>
      </c>
      <c r="C198" s="33" t="str">
        <f aca="false">IF(OR(WEEKDAY(A198,2)&gt;5,COUNTIF($I$16:$I$35,A198)&gt;0),"休日","平日")</f>
        <v>平日</v>
      </c>
      <c r="D198" s="34"/>
      <c r="E198" s="33" t="str">
        <f aca="false">IF(D198&lt;&gt;"",D198,C198)</f>
        <v>平日</v>
      </c>
      <c r="F198" s="35" t="n">
        <f aca="false">IF(E198="休日",MAX(0,$B$6-$B$10),MAX(0,$B$5-$B$9))</f>
        <v>3.5</v>
      </c>
      <c r="G198" s="35" t="n">
        <f aca="false">G197+F198</f>
        <v>901.5</v>
      </c>
    </row>
    <row r="199" customFormat="false" ht="16.5" hidden="false" customHeight="true" outlineLevel="0" collapsed="false">
      <c r="A199" s="32" t="n">
        <f aca="false">A198+1</f>
        <v>46500</v>
      </c>
      <c r="B199" s="33" t="str">
        <f aca="false">CHOOSE(WEEKDAY(A199),"日","月","火","水","木","金","土")</f>
        <v>金</v>
      </c>
      <c r="C199" s="33" t="str">
        <f aca="false">IF(OR(WEEKDAY(A199,2)&gt;5,COUNTIF($I$16:$I$35,A199)&gt;0),"休日","平日")</f>
        <v>平日</v>
      </c>
      <c r="D199" s="34"/>
      <c r="E199" s="33" t="str">
        <f aca="false">IF(D199&lt;&gt;"",D199,C199)</f>
        <v>平日</v>
      </c>
      <c r="F199" s="35" t="n">
        <f aca="false">IF(E199="休日",MAX(0,$B$6-$B$10),MAX(0,$B$5-$B$9))</f>
        <v>3.5</v>
      </c>
      <c r="G199" s="35" t="n">
        <f aca="false">G198+F199</f>
        <v>905</v>
      </c>
    </row>
    <row r="200" customFormat="false" ht="16.5" hidden="false" customHeight="true" outlineLevel="0" collapsed="false">
      <c r="A200" s="32" t="n">
        <f aca="false">A199+1</f>
        <v>46501</v>
      </c>
      <c r="B200" s="33" t="str">
        <f aca="false">CHOOSE(WEEKDAY(A200),"日","月","火","水","木","金","土")</f>
        <v>土</v>
      </c>
      <c r="C200" s="33" t="str">
        <f aca="false">IF(OR(WEEKDAY(A200,2)&gt;5,COUNTIF($I$16:$I$35,A200)&gt;0),"休日","平日")</f>
        <v>休日</v>
      </c>
      <c r="D200" s="34"/>
      <c r="E200" s="33" t="str">
        <f aca="false">IF(D200&lt;&gt;"",D200,C200)</f>
        <v>休日</v>
      </c>
      <c r="F200" s="35" t="n">
        <f aca="false">IF(E200="休日",MAX(0,$B$6-$B$10),MAX(0,$B$5-$B$9))</f>
        <v>8</v>
      </c>
      <c r="G200" s="35" t="n">
        <f aca="false">G199+F200</f>
        <v>913</v>
      </c>
    </row>
    <row r="201" customFormat="false" ht="16.5" hidden="false" customHeight="true" outlineLevel="0" collapsed="false">
      <c r="A201" s="32" t="n">
        <f aca="false">A200+1</f>
        <v>46502</v>
      </c>
      <c r="B201" s="33" t="str">
        <f aca="false">CHOOSE(WEEKDAY(A201),"日","月","火","水","木","金","土")</f>
        <v>日</v>
      </c>
      <c r="C201" s="33" t="str">
        <f aca="false">IF(OR(WEEKDAY(A201,2)&gt;5,COUNTIF($I$16:$I$35,A201)&gt;0),"休日","平日")</f>
        <v>休日</v>
      </c>
      <c r="D201" s="34"/>
      <c r="E201" s="33" t="str">
        <f aca="false">IF(D201&lt;&gt;"",D201,C201)</f>
        <v>休日</v>
      </c>
      <c r="F201" s="35" t="n">
        <f aca="false">IF(E201="休日",MAX(0,$B$6-$B$10),MAX(0,$B$5-$B$9))</f>
        <v>8</v>
      </c>
      <c r="G201" s="35" t="n">
        <f aca="false">G200+F201</f>
        <v>921</v>
      </c>
    </row>
    <row r="202" customFormat="false" ht="16.5" hidden="false" customHeight="true" outlineLevel="0" collapsed="false">
      <c r="A202" s="32" t="n">
        <f aca="false">A201+1</f>
        <v>46503</v>
      </c>
      <c r="B202" s="33" t="str">
        <f aca="false">CHOOSE(WEEKDAY(A202),"日","月","火","水","木","金","土")</f>
        <v>月</v>
      </c>
      <c r="C202" s="33" t="str">
        <f aca="false">IF(OR(WEEKDAY(A202,2)&gt;5,COUNTIF($I$16:$I$35,A202)&gt;0),"休日","平日")</f>
        <v>平日</v>
      </c>
      <c r="D202" s="34"/>
      <c r="E202" s="33" t="str">
        <f aca="false">IF(D202&lt;&gt;"",D202,C202)</f>
        <v>平日</v>
      </c>
      <c r="F202" s="35" t="n">
        <f aca="false">IF(E202="休日",MAX(0,$B$6-$B$10),MAX(0,$B$5-$B$9))</f>
        <v>3.5</v>
      </c>
      <c r="G202" s="35" t="n">
        <f aca="false">G201+F202</f>
        <v>924.5</v>
      </c>
    </row>
    <row r="203" customFormat="false" ht="16.5" hidden="false" customHeight="true" outlineLevel="0" collapsed="false">
      <c r="A203" s="32" t="n">
        <f aca="false">A202+1</f>
        <v>46504</v>
      </c>
      <c r="B203" s="33" t="str">
        <f aca="false">CHOOSE(WEEKDAY(A203),"日","月","火","水","木","金","土")</f>
        <v>火</v>
      </c>
      <c r="C203" s="33" t="str">
        <f aca="false">IF(OR(WEEKDAY(A203,2)&gt;5,COUNTIF($I$16:$I$35,A203)&gt;0),"休日","平日")</f>
        <v>平日</v>
      </c>
      <c r="D203" s="34"/>
      <c r="E203" s="33" t="str">
        <f aca="false">IF(D203&lt;&gt;"",D203,C203)</f>
        <v>平日</v>
      </c>
      <c r="F203" s="35" t="n">
        <f aca="false">IF(E203="休日",MAX(0,$B$6-$B$10),MAX(0,$B$5-$B$9))</f>
        <v>3.5</v>
      </c>
      <c r="G203" s="35" t="n">
        <f aca="false">G202+F203</f>
        <v>928</v>
      </c>
    </row>
    <row r="204" customFormat="false" ht="16.5" hidden="false" customHeight="true" outlineLevel="0" collapsed="false">
      <c r="A204" s="32" t="n">
        <f aca="false">A203+1</f>
        <v>46505</v>
      </c>
      <c r="B204" s="33" t="str">
        <f aca="false">CHOOSE(WEEKDAY(A204),"日","月","火","水","木","金","土")</f>
        <v>水</v>
      </c>
      <c r="C204" s="33" t="str">
        <f aca="false">IF(OR(WEEKDAY(A204,2)&gt;5,COUNTIF($I$16:$I$35,A204)&gt;0),"休日","平日")</f>
        <v>平日</v>
      </c>
      <c r="D204" s="34"/>
      <c r="E204" s="33" t="str">
        <f aca="false">IF(D204&lt;&gt;"",D204,C204)</f>
        <v>平日</v>
      </c>
      <c r="F204" s="35" t="n">
        <f aca="false">IF(E204="休日",MAX(0,$B$6-$B$10),MAX(0,$B$5-$B$9))</f>
        <v>3.5</v>
      </c>
      <c r="G204" s="35" t="n">
        <f aca="false">G203+F204</f>
        <v>931.5</v>
      </c>
    </row>
    <row r="205" customFormat="false" ht="16.5" hidden="false" customHeight="true" outlineLevel="0" collapsed="false">
      <c r="A205" s="32" t="n">
        <f aca="false">A204+1</f>
        <v>46506</v>
      </c>
      <c r="B205" s="33" t="str">
        <f aca="false">CHOOSE(WEEKDAY(A205),"日","月","火","水","木","金","土")</f>
        <v>木</v>
      </c>
      <c r="C205" s="33" t="str">
        <f aca="false">IF(OR(WEEKDAY(A205,2)&gt;5,COUNTIF($I$16:$I$35,A205)&gt;0),"休日","平日")</f>
        <v>平日</v>
      </c>
      <c r="D205" s="34"/>
      <c r="E205" s="33" t="str">
        <f aca="false">IF(D205&lt;&gt;"",D205,C205)</f>
        <v>平日</v>
      </c>
      <c r="F205" s="35" t="n">
        <f aca="false">IF(E205="休日",MAX(0,$B$6-$B$10),MAX(0,$B$5-$B$9))</f>
        <v>3.5</v>
      </c>
      <c r="G205" s="35" t="n">
        <f aca="false">G204+F205</f>
        <v>935</v>
      </c>
    </row>
    <row r="206" customFormat="false" ht="16.5" hidden="false" customHeight="true" outlineLevel="0" collapsed="false">
      <c r="A206" s="32" t="n">
        <f aca="false">A205+1</f>
        <v>46507</v>
      </c>
      <c r="B206" s="33" t="str">
        <f aca="false">CHOOSE(WEEKDAY(A206),"日","月","火","水","木","金","土")</f>
        <v>金</v>
      </c>
      <c r="C206" s="33" t="str">
        <f aca="false">IF(OR(WEEKDAY(A206,2)&gt;5,COUNTIF($I$16:$I$35,A206)&gt;0),"休日","平日")</f>
        <v>平日</v>
      </c>
      <c r="D206" s="34"/>
      <c r="E206" s="33" t="str">
        <f aca="false">IF(D206&lt;&gt;"",D206,C206)</f>
        <v>平日</v>
      </c>
      <c r="F206" s="35" t="n">
        <f aca="false">IF(E206="休日",MAX(0,$B$6-$B$10),MAX(0,$B$5-$B$9))</f>
        <v>3.5</v>
      </c>
      <c r="G206" s="35" t="n">
        <f aca="false">G205+F206</f>
        <v>938.5</v>
      </c>
    </row>
    <row r="207" customFormat="false" ht="16.5" hidden="false" customHeight="true" outlineLevel="0" collapsed="false">
      <c r="A207" s="32" t="n">
        <f aca="false">A206+1</f>
        <v>46508</v>
      </c>
      <c r="B207" s="33" t="str">
        <f aca="false">CHOOSE(WEEKDAY(A207),"日","月","火","水","木","金","土")</f>
        <v>土</v>
      </c>
      <c r="C207" s="33" t="str">
        <f aca="false">IF(OR(WEEKDAY(A207,2)&gt;5,COUNTIF($I$16:$I$35,A207)&gt;0),"休日","平日")</f>
        <v>休日</v>
      </c>
      <c r="D207" s="34"/>
      <c r="E207" s="33" t="str">
        <f aca="false">IF(D207&lt;&gt;"",D207,C207)</f>
        <v>休日</v>
      </c>
      <c r="F207" s="35" t="n">
        <f aca="false">IF(E207="休日",MAX(0,$B$6-$B$10),MAX(0,$B$5-$B$9))</f>
        <v>8</v>
      </c>
      <c r="G207" s="35" t="n">
        <f aca="false">G206+F207</f>
        <v>946.5</v>
      </c>
    </row>
    <row r="208" customFormat="false" ht="16.5" hidden="false" customHeight="true" outlineLevel="0" collapsed="false">
      <c r="A208" s="32" t="n">
        <f aca="false">A207+1</f>
        <v>46509</v>
      </c>
      <c r="B208" s="33" t="str">
        <f aca="false">CHOOSE(WEEKDAY(A208),"日","月","火","水","木","金","土")</f>
        <v>日</v>
      </c>
      <c r="C208" s="33" t="str">
        <f aca="false">IF(OR(WEEKDAY(A208,2)&gt;5,COUNTIF($I$16:$I$35,A208)&gt;0),"休日","平日")</f>
        <v>休日</v>
      </c>
      <c r="D208" s="34"/>
      <c r="E208" s="33" t="str">
        <f aca="false">IF(D208&lt;&gt;"",D208,C208)</f>
        <v>休日</v>
      </c>
      <c r="F208" s="35" t="n">
        <f aca="false">IF(E208="休日",MAX(0,$B$6-$B$10),MAX(0,$B$5-$B$9))</f>
        <v>8</v>
      </c>
      <c r="G208" s="35" t="n">
        <f aca="false">G207+F208</f>
        <v>954.5</v>
      </c>
    </row>
    <row r="209" customFormat="false" ht="16.5" hidden="false" customHeight="true" outlineLevel="0" collapsed="false">
      <c r="A209" s="32" t="n">
        <f aca="false">A208+1</f>
        <v>46510</v>
      </c>
      <c r="B209" s="33" t="str">
        <f aca="false">CHOOSE(WEEKDAY(A209),"日","月","火","水","木","金","土")</f>
        <v>月</v>
      </c>
      <c r="C209" s="33" t="str">
        <f aca="false">IF(OR(WEEKDAY(A209,2)&gt;5,COUNTIF($I$16:$I$35,A209)&gt;0),"休日","平日")</f>
        <v>平日</v>
      </c>
      <c r="D209" s="34"/>
      <c r="E209" s="33" t="str">
        <f aca="false">IF(D209&lt;&gt;"",D209,C209)</f>
        <v>平日</v>
      </c>
      <c r="F209" s="35" t="n">
        <f aca="false">IF(E209="休日",MAX(0,$B$6-$B$10),MAX(0,$B$5-$B$9))</f>
        <v>3.5</v>
      </c>
      <c r="G209" s="35" t="n">
        <f aca="false">G208+F209</f>
        <v>958</v>
      </c>
    </row>
    <row r="210" customFormat="false" ht="16.5" hidden="false" customHeight="true" outlineLevel="0" collapsed="false">
      <c r="A210" s="32" t="n">
        <f aca="false">A209+1</f>
        <v>46511</v>
      </c>
      <c r="B210" s="33" t="str">
        <f aca="false">CHOOSE(WEEKDAY(A210),"日","月","火","水","木","金","土")</f>
        <v>火</v>
      </c>
      <c r="C210" s="33" t="str">
        <f aca="false">IF(OR(WEEKDAY(A210,2)&gt;5,COUNTIF($I$16:$I$35,A210)&gt;0),"休日","平日")</f>
        <v>平日</v>
      </c>
      <c r="D210" s="34"/>
      <c r="E210" s="33" t="str">
        <f aca="false">IF(D210&lt;&gt;"",D210,C210)</f>
        <v>平日</v>
      </c>
      <c r="F210" s="35" t="n">
        <f aca="false">IF(E210="休日",MAX(0,$B$6-$B$10),MAX(0,$B$5-$B$9))</f>
        <v>3.5</v>
      </c>
      <c r="G210" s="35" t="n">
        <f aca="false">G209+F210</f>
        <v>961.5</v>
      </c>
    </row>
    <row r="211" customFormat="false" ht="16.5" hidden="false" customHeight="true" outlineLevel="0" collapsed="false">
      <c r="A211" s="32" t="n">
        <f aca="false">A210+1</f>
        <v>46512</v>
      </c>
      <c r="B211" s="33" t="str">
        <f aca="false">CHOOSE(WEEKDAY(A211),"日","月","火","水","木","金","土")</f>
        <v>水</v>
      </c>
      <c r="C211" s="33" t="str">
        <f aca="false">IF(OR(WEEKDAY(A211,2)&gt;5,COUNTIF($I$16:$I$35,A211)&gt;0),"休日","平日")</f>
        <v>平日</v>
      </c>
      <c r="D211" s="34"/>
      <c r="E211" s="33" t="str">
        <f aca="false">IF(D211&lt;&gt;"",D211,C211)</f>
        <v>平日</v>
      </c>
      <c r="F211" s="35" t="n">
        <f aca="false">IF(E211="休日",MAX(0,$B$6-$B$10),MAX(0,$B$5-$B$9))</f>
        <v>3.5</v>
      </c>
      <c r="G211" s="35" t="n">
        <f aca="false">G210+F211</f>
        <v>965</v>
      </c>
    </row>
    <row r="212" customFormat="false" ht="16.5" hidden="false" customHeight="true" outlineLevel="0" collapsed="false">
      <c r="A212" s="32" t="n">
        <f aca="false">A211+1</f>
        <v>46513</v>
      </c>
      <c r="B212" s="33" t="str">
        <f aca="false">CHOOSE(WEEKDAY(A212),"日","月","火","水","木","金","土")</f>
        <v>木</v>
      </c>
      <c r="C212" s="33" t="str">
        <f aca="false">IF(OR(WEEKDAY(A212,2)&gt;5,COUNTIF($I$16:$I$35,A212)&gt;0),"休日","平日")</f>
        <v>平日</v>
      </c>
      <c r="D212" s="34"/>
      <c r="E212" s="33" t="str">
        <f aca="false">IF(D212&lt;&gt;"",D212,C212)</f>
        <v>平日</v>
      </c>
      <c r="F212" s="35" t="n">
        <f aca="false">IF(E212="休日",MAX(0,$B$6-$B$10),MAX(0,$B$5-$B$9))</f>
        <v>3.5</v>
      </c>
      <c r="G212" s="35" t="n">
        <f aca="false">G211+F212</f>
        <v>968.5</v>
      </c>
    </row>
    <row r="213" customFormat="false" ht="16.5" hidden="false" customHeight="true" outlineLevel="0" collapsed="false">
      <c r="A213" s="32" t="n">
        <f aca="false">A212+1</f>
        <v>46514</v>
      </c>
      <c r="B213" s="33" t="str">
        <f aca="false">CHOOSE(WEEKDAY(A213),"日","月","火","水","木","金","土")</f>
        <v>金</v>
      </c>
      <c r="C213" s="33" t="str">
        <f aca="false">IF(OR(WEEKDAY(A213,2)&gt;5,COUNTIF($I$16:$I$35,A213)&gt;0),"休日","平日")</f>
        <v>平日</v>
      </c>
      <c r="D213" s="34"/>
      <c r="E213" s="33" t="str">
        <f aca="false">IF(D213&lt;&gt;"",D213,C213)</f>
        <v>平日</v>
      </c>
      <c r="F213" s="35" t="n">
        <f aca="false">IF(E213="休日",MAX(0,$B$6-$B$10),MAX(0,$B$5-$B$9))</f>
        <v>3.5</v>
      </c>
      <c r="G213" s="35" t="n">
        <f aca="false">G212+F213</f>
        <v>972</v>
      </c>
    </row>
    <row r="214" customFormat="false" ht="16.5" hidden="false" customHeight="true" outlineLevel="0" collapsed="false">
      <c r="A214" s="32" t="n">
        <f aca="false">A213+1</f>
        <v>46515</v>
      </c>
      <c r="B214" s="33" t="str">
        <f aca="false">CHOOSE(WEEKDAY(A214),"日","月","火","水","木","金","土")</f>
        <v>土</v>
      </c>
      <c r="C214" s="33" t="str">
        <f aca="false">IF(OR(WEEKDAY(A214,2)&gt;5,COUNTIF($I$16:$I$35,A214)&gt;0),"休日","平日")</f>
        <v>休日</v>
      </c>
      <c r="D214" s="34"/>
      <c r="E214" s="33" t="str">
        <f aca="false">IF(D214&lt;&gt;"",D214,C214)</f>
        <v>休日</v>
      </c>
      <c r="F214" s="35" t="n">
        <f aca="false">IF(E214="休日",MAX(0,$B$6-$B$10),MAX(0,$B$5-$B$9))</f>
        <v>8</v>
      </c>
      <c r="G214" s="35" t="n">
        <f aca="false">G213+F214</f>
        <v>980</v>
      </c>
    </row>
    <row r="215" customFormat="false" ht="16.5" hidden="false" customHeight="true" outlineLevel="0" collapsed="false">
      <c r="A215" s="32" t="n">
        <f aca="false">A214+1</f>
        <v>46516</v>
      </c>
      <c r="B215" s="33" t="str">
        <f aca="false">CHOOSE(WEEKDAY(A215),"日","月","火","水","木","金","土")</f>
        <v>日</v>
      </c>
      <c r="C215" s="33" t="str">
        <f aca="false">IF(OR(WEEKDAY(A215,2)&gt;5,COUNTIF($I$16:$I$35,A215)&gt;0),"休日","平日")</f>
        <v>休日</v>
      </c>
      <c r="D215" s="34"/>
      <c r="E215" s="33" t="str">
        <f aca="false">IF(D215&lt;&gt;"",D215,C215)</f>
        <v>休日</v>
      </c>
      <c r="F215" s="35" t="n">
        <f aca="false">IF(E215="休日",MAX(0,$B$6-$B$10),MAX(0,$B$5-$B$9))</f>
        <v>8</v>
      </c>
      <c r="G215" s="35" t="n">
        <f aca="false">G214+F215</f>
        <v>988</v>
      </c>
    </row>
  </sheetData>
  <conditionalFormatting sqref="E16:E215">
    <cfRule type="cellIs" priority="2" operator="equal" aboveAverage="0" equalAverage="0" bottom="0" percent="0" rank="0" text="" dxfId="12">
      <formula>"休日"</formula>
    </cfRule>
  </conditionalFormatting>
  <dataValidations count="1">
    <dataValidation allowBlank="true" errorStyle="stop" operator="between" showDropDown="false" showErrorMessage="false" showInputMessage="false" sqref="D16:D215" type="list">
      <formula1>"平日,休日"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2026-10-21T10:49:52Z</dcterms:created>
  <dc:creator>openpyxl</dc:creator>
  <dc:description/>
  <dc:language>en-US</dc:language>
  <cp:lastModifiedBy>嶺 清水</cp:lastModifiedBy>
  <dcterms:modified xsi:type="dcterms:W3CDTF">2026-10-26T14:17:19Z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