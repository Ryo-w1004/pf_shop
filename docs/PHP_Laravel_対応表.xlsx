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user/dev/pf-shop/docs/"/>
    </mc:Choice>
  </mc:AlternateContent>
  <xr:revisionPtr revIDLastSave="0" documentId="13_ncr:1_{810BC3D8-0B71-8A4E-A4A8-7007B6E77858}" xr6:coauthVersionLast="47" xr6:coauthVersionMax="47" xr10:uidLastSave="{00000000-0000-0000-0000-000000000000}"/>
  <bookViews>
    <workbookView xWindow="-3100" yWindow="-20720" windowWidth="25840" windowHeight="20680" tabRatio="500" activeTab="1" xr2:uid="{00000000-000D-0000-FFFF-FFFF00000000}"/>
  </bookViews>
  <sheets>
    <sheet name="対応表" sheetId="1" r:id="rId1"/>
    <sheet name="進め方チェック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7" i="2" l="1"/>
  <c r="C19" i="2" s="1"/>
  <c r="H15" i="2"/>
  <c r="H14" i="2"/>
  <c r="H13" i="2"/>
  <c r="H12" i="2"/>
  <c r="H11" i="2"/>
  <c r="H10" i="2"/>
  <c r="H9" i="2"/>
  <c r="H8" i="2"/>
  <c r="H7" i="2"/>
  <c r="H6" i="2"/>
  <c r="H5" i="2"/>
  <c r="C18" i="2" s="1"/>
  <c r="C22" i="1"/>
  <c r="C21" i="1"/>
  <c r="C20" i="1"/>
  <c r="C19" i="1"/>
  <c r="C23" i="1" l="1"/>
</calcChain>
</file>

<file path=xl/sharedStrings.xml><?xml version="1.0" encoding="utf-8"?>
<sst xmlns="http://schemas.openxmlformats.org/spreadsheetml/2006/main" count="145" uniqueCount="105">
  <si>
    <r>
      <rPr>
        <b/>
        <sz val="14"/>
        <rFont val="Noto Sans CJK SC"/>
        <family val="2"/>
      </rPr>
      <t>素の</t>
    </r>
    <r>
      <rPr>
        <b/>
        <sz val="14"/>
        <rFont val="Yu Gothic"/>
        <family val="3"/>
        <charset val="128"/>
      </rPr>
      <t xml:space="preserve">PHP → Laravel </t>
    </r>
    <r>
      <rPr>
        <b/>
        <sz val="14"/>
        <rFont val="Noto Sans CJK SC"/>
        <family val="2"/>
      </rPr>
      <t>対応表</t>
    </r>
  </si>
  <si>
    <r>
      <rPr>
        <i/>
        <sz val="9"/>
        <color rgb="FF595959"/>
        <rFont val="Noto Sans CJK SC"/>
        <family val="2"/>
      </rPr>
      <t>前回の写経</t>
    </r>
    <r>
      <rPr>
        <i/>
        <sz val="9"/>
        <color rgb="FF595959"/>
        <rFont val="Yu Gothic"/>
        <family val="3"/>
        <charset val="128"/>
      </rPr>
      <t>(</t>
    </r>
    <r>
      <rPr>
        <i/>
        <sz val="9"/>
        <color rgb="FF595959"/>
        <rFont val="Noto Sans CJK SC"/>
        <family val="2"/>
      </rPr>
      <t>素の</t>
    </r>
    <r>
      <rPr>
        <i/>
        <sz val="9"/>
        <color rgb="FF595959"/>
        <rFont val="Yu Gothic"/>
        <family val="3"/>
        <charset val="128"/>
      </rPr>
      <t>PHP)</t>
    </r>
    <r>
      <rPr>
        <i/>
        <sz val="9"/>
        <color rgb="FF595959"/>
        <rFont val="Noto Sans CJK SC"/>
        <family val="2"/>
      </rPr>
      <t>で書いたものが、</t>
    </r>
    <r>
      <rPr>
        <i/>
        <sz val="9"/>
        <color rgb="FF595959"/>
        <rFont val="Yu Gothic"/>
        <family val="3"/>
        <charset val="128"/>
      </rPr>
      <t>Laravel</t>
    </r>
    <r>
      <rPr>
        <i/>
        <sz val="9"/>
        <color rgb="FF595959"/>
        <rFont val="Noto Sans CJK SC"/>
        <family val="2"/>
      </rPr>
      <t>ではどこに・どう書くかの対応です。黄色のセル</t>
    </r>
    <r>
      <rPr>
        <i/>
        <sz val="9"/>
        <color rgb="FF595959"/>
        <rFont val="Yu Gothic"/>
        <family val="3"/>
        <charset val="128"/>
      </rPr>
      <t>(</t>
    </r>
    <r>
      <rPr>
        <i/>
        <sz val="9"/>
        <color rgb="FF595959"/>
        <rFont val="Noto Sans CJK SC"/>
        <family val="2"/>
      </rPr>
      <t>理解度・メモ</t>
    </r>
    <r>
      <rPr>
        <i/>
        <sz val="9"/>
        <color rgb="FF595959"/>
        <rFont val="Yu Gothic"/>
        <family val="3"/>
        <charset val="128"/>
      </rPr>
      <t>)</t>
    </r>
    <r>
      <rPr>
        <i/>
        <sz val="9"/>
        <color rgb="FF595959"/>
        <rFont val="Noto Sans CJK SC"/>
        <family val="2"/>
      </rPr>
      <t xml:space="preserve">が編集用です。「調べる言葉」は </t>
    </r>
    <r>
      <rPr>
        <i/>
        <sz val="9"/>
        <color rgb="FF595959"/>
        <rFont val="Yu Gothic"/>
        <family val="3"/>
        <charset val="128"/>
      </rPr>
      <t>ReaDouble(Laravel</t>
    </r>
    <r>
      <rPr>
        <i/>
        <sz val="9"/>
        <color rgb="FF595959"/>
        <rFont val="Noto Sans CJK SC"/>
        <family val="2"/>
      </rPr>
      <t>公式ドキュメントの日本語訳</t>
    </r>
    <r>
      <rPr>
        <i/>
        <sz val="9"/>
        <color rgb="FF595959"/>
        <rFont val="Yu Gothic"/>
        <family val="3"/>
        <charset val="128"/>
      </rPr>
      <t>)</t>
    </r>
    <r>
      <rPr>
        <i/>
        <sz val="9"/>
        <color rgb="FF595959"/>
        <rFont val="Noto Sans CJK SC"/>
        <family val="2"/>
      </rPr>
      <t>の目次で探す語です。</t>
    </r>
  </si>
  <si>
    <t>No</t>
  </si>
  <si>
    <t>分類</t>
  </si>
  <si>
    <r>
      <rPr>
        <b/>
        <sz val="10"/>
        <color rgb="FFFFFFFF"/>
        <rFont val="Noto Sans CJK SC"/>
        <family val="2"/>
      </rPr>
      <t>前回</t>
    </r>
    <r>
      <rPr>
        <b/>
        <sz val="10"/>
        <color rgb="FFFFFFFF"/>
        <rFont val="Yu Gothic"/>
        <family val="3"/>
        <charset val="128"/>
      </rPr>
      <t>(</t>
    </r>
    <r>
      <rPr>
        <b/>
        <sz val="10"/>
        <color rgb="FFFFFFFF"/>
        <rFont val="Noto Sans CJK SC"/>
        <family val="2"/>
      </rPr>
      <t>素の</t>
    </r>
    <r>
      <rPr>
        <b/>
        <sz val="10"/>
        <color rgb="FFFFFFFF"/>
        <rFont val="Yu Gothic"/>
        <family val="3"/>
        <charset val="128"/>
      </rPr>
      <t>PHP)</t>
    </r>
  </si>
  <si>
    <r>
      <rPr>
        <b/>
        <sz val="10"/>
        <color rgb="FFFFFFFF"/>
        <rFont val="Yu Gothic"/>
        <family val="3"/>
        <charset val="128"/>
      </rPr>
      <t>Laravel</t>
    </r>
    <r>
      <rPr>
        <b/>
        <sz val="10"/>
        <color rgb="FFFFFFFF"/>
        <rFont val="Noto Sans CJK SC"/>
        <family val="2"/>
      </rPr>
      <t>での書き方</t>
    </r>
  </si>
  <si>
    <t>置き場所</t>
  </si>
  <si>
    <r>
      <rPr>
        <b/>
        <sz val="10"/>
        <color rgb="FFFFFFFF"/>
        <rFont val="Noto Sans CJK SC"/>
        <family val="2"/>
      </rPr>
      <t>調べる言葉</t>
    </r>
    <r>
      <rPr>
        <b/>
        <sz val="10"/>
        <color rgb="FFFFFFFF"/>
        <rFont val="Yu Gothic"/>
        <family val="3"/>
        <charset val="128"/>
      </rPr>
      <t>(ReaDouble)</t>
    </r>
  </si>
  <si>
    <r>
      <rPr>
        <b/>
        <sz val="10"/>
        <color rgb="FFFFFFFF"/>
        <rFont val="Noto Sans CJK SC"/>
        <family val="2"/>
      </rPr>
      <t>最初に使うレッスン</t>
    </r>
    <r>
      <rPr>
        <b/>
        <sz val="10"/>
        <color rgb="FFFFFFFF"/>
        <rFont val="Yu Gothic"/>
        <family val="3"/>
        <charset val="128"/>
      </rPr>
      <t>(</t>
    </r>
    <r>
      <rPr>
        <b/>
        <sz val="10"/>
        <color rgb="FFFFFFFF"/>
        <rFont val="Noto Sans CJK SC"/>
        <family val="2"/>
      </rPr>
      <t>目安</t>
    </r>
    <r>
      <rPr>
        <b/>
        <sz val="10"/>
        <color rgb="FFFFFFFF"/>
        <rFont val="Yu Gothic"/>
        <family val="3"/>
        <charset val="128"/>
      </rPr>
      <t>)</t>
    </r>
  </si>
  <si>
    <t>理解度</t>
  </si>
  <si>
    <t>メモ</t>
  </si>
  <si>
    <t>DB</t>
  </si>
  <si>
    <r>
      <rPr>
        <sz val="10"/>
        <rFont val="Menlo"/>
        <family val="2"/>
      </rPr>
      <t xml:space="preserve">phpMyAdmin </t>
    </r>
    <r>
      <rPr>
        <sz val="10"/>
        <rFont val="Noto Sans CJK SC"/>
        <family val="2"/>
      </rPr>
      <t xml:space="preserve">や </t>
    </r>
    <r>
      <rPr>
        <sz val="10"/>
        <rFont val="Menlo"/>
        <family val="2"/>
      </rPr>
      <t xml:space="preserve">SQL </t>
    </r>
    <r>
      <rPr>
        <sz val="10"/>
        <rFont val="Noto Sans CJK SC"/>
        <family val="2"/>
      </rPr>
      <t xml:space="preserve">の </t>
    </r>
    <r>
      <rPr>
        <sz val="10"/>
        <rFont val="Menlo"/>
        <family val="2"/>
      </rPr>
      <t>CREATE TABLE</t>
    </r>
  </si>
  <si>
    <t>マイグレーション</t>
  </si>
  <si>
    <t>database/migrations/</t>
  </si>
  <si>
    <t>Lesson 06</t>
  </si>
  <si>
    <t>未</t>
  </si>
  <si>
    <t>画面の構成</t>
  </si>
  <si>
    <r>
      <rPr>
        <sz val="10"/>
        <rFont val="Menlo"/>
        <family val="2"/>
      </rPr>
      <t>1</t>
    </r>
    <r>
      <rPr>
        <sz val="10"/>
        <rFont val="Noto Sans CJK SC"/>
        <family val="2"/>
      </rPr>
      <t>ページ</t>
    </r>
    <r>
      <rPr>
        <sz val="10"/>
        <rFont val="Menlo"/>
        <family val="2"/>
      </rPr>
      <t>1</t>
    </r>
    <r>
      <rPr>
        <sz val="10"/>
        <rFont val="Noto Sans CJK SC"/>
        <family val="2"/>
      </rPr>
      <t>ファイル</t>
    </r>
    <r>
      <rPr>
        <sz val="10"/>
        <rFont val="Menlo"/>
        <family val="2"/>
      </rPr>
      <t xml:space="preserve">(signup.php </t>
    </r>
    <r>
      <rPr>
        <sz val="10"/>
        <rFont val="Noto Sans CJK SC"/>
        <family val="2"/>
      </rPr>
      <t>など</t>
    </r>
    <r>
      <rPr>
        <sz val="10"/>
        <rFont val="Menlo"/>
        <family val="2"/>
      </rPr>
      <t>)</t>
    </r>
  </si>
  <si>
    <r>
      <rPr>
        <sz val="10"/>
        <rFont val="Noto Sans CJK SC"/>
        <family val="2"/>
      </rPr>
      <t xml:space="preserve">ルート </t>
    </r>
    <r>
      <rPr>
        <sz val="10"/>
        <rFont val="Menlo"/>
        <family val="2"/>
      </rPr>
      <t xml:space="preserve">+ </t>
    </r>
    <r>
      <rPr>
        <sz val="10"/>
        <rFont val="Noto Sans CJK SC"/>
        <family val="2"/>
      </rPr>
      <t>コントローラー</t>
    </r>
  </si>
  <si>
    <r>
      <rPr>
        <sz val="10"/>
        <rFont val="Yu Gothic"/>
        <family val="3"/>
        <charset val="128"/>
      </rPr>
      <t>routes/web.php</t>
    </r>
    <r>
      <rPr>
        <sz val="10"/>
        <rFont val="Noto Sans CJK SC"/>
        <family val="2"/>
      </rPr>
      <t>、</t>
    </r>
    <r>
      <rPr>
        <sz val="10"/>
        <rFont val="Yu Gothic"/>
        <family val="3"/>
        <charset val="128"/>
      </rPr>
      <t>app/Http/Controllers/</t>
    </r>
  </si>
  <si>
    <t>ルーティング、コントローラ</t>
  </si>
  <si>
    <r>
      <rPr>
        <sz val="10"/>
        <rFont val="Yu Gothic"/>
        <family val="3"/>
        <charset val="128"/>
      </rPr>
      <t>Lesson 07</t>
    </r>
    <r>
      <rPr>
        <sz val="10"/>
        <rFont val="Noto Sans CJK SC"/>
        <family val="2"/>
      </rPr>
      <t>〜</t>
    </r>
    <r>
      <rPr>
        <sz val="10"/>
        <rFont val="Yu Gothic"/>
        <family val="3"/>
        <charset val="128"/>
      </rPr>
      <t>08</t>
    </r>
  </si>
  <si>
    <r>
      <rPr>
        <sz val="10"/>
        <rFont val="Menlo"/>
        <family val="2"/>
      </rPr>
      <t>HTML</t>
    </r>
    <r>
      <rPr>
        <sz val="10"/>
        <rFont val="Noto Sans CJK SC"/>
        <family val="2"/>
      </rPr>
      <t>と</t>
    </r>
    <r>
      <rPr>
        <sz val="10"/>
        <rFont val="Menlo"/>
        <family val="2"/>
      </rPr>
      <t>PHP</t>
    </r>
    <r>
      <rPr>
        <sz val="10"/>
        <rFont val="Noto Sans CJK SC"/>
        <family val="2"/>
      </rPr>
      <t>が同じファイル</t>
    </r>
  </si>
  <si>
    <r>
      <rPr>
        <sz val="10"/>
        <rFont val="Noto Sans CJK SC"/>
        <family val="2"/>
      </rPr>
      <t>処理はコントローラー、</t>
    </r>
    <r>
      <rPr>
        <sz val="10"/>
        <rFont val="Menlo"/>
        <family val="2"/>
      </rPr>
      <t>HTML</t>
    </r>
    <r>
      <rPr>
        <sz val="10"/>
        <rFont val="Noto Sans CJK SC"/>
        <family val="2"/>
      </rPr>
      <t>はビュー</t>
    </r>
  </si>
  <si>
    <t>resources/views/(Blade)</t>
  </si>
  <si>
    <r>
      <rPr>
        <sz val="10"/>
        <rFont val="Noto Sans CJK SC"/>
        <family val="2"/>
      </rPr>
      <t>ビュー、</t>
    </r>
    <r>
      <rPr>
        <sz val="10"/>
        <rFont val="Yu Gothic"/>
        <family val="3"/>
        <charset val="128"/>
      </rPr>
      <t>Blade</t>
    </r>
    <r>
      <rPr>
        <sz val="10"/>
        <rFont val="Noto Sans CJK SC"/>
        <family val="2"/>
      </rPr>
      <t>テンプレート</t>
    </r>
  </si>
  <si>
    <r>
      <rPr>
        <sz val="10"/>
        <rFont val="Menlo"/>
        <family val="2"/>
      </rPr>
      <t xml:space="preserve">require / include </t>
    </r>
    <r>
      <rPr>
        <sz val="10"/>
        <rFont val="Noto Sans CJK SC"/>
        <family val="2"/>
      </rPr>
      <t>で共通のヘッダー・フッターを読み込む</t>
    </r>
  </si>
  <si>
    <r>
      <rPr>
        <sz val="10"/>
        <rFont val="Menlo"/>
        <family val="2"/>
      </rPr>
      <t xml:space="preserve">Blade </t>
    </r>
    <r>
      <rPr>
        <sz val="10"/>
        <rFont val="Noto Sans CJK SC"/>
        <family val="2"/>
      </rPr>
      <t>のレイアウト</t>
    </r>
    <r>
      <rPr>
        <sz val="10"/>
        <rFont val="Menlo"/>
        <family val="2"/>
      </rPr>
      <t>(@extends</t>
    </r>
    <r>
      <rPr>
        <sz val="10"/>
        <rFont val="Noto Sans CJK SC"/>
        <family val="2"/>
      </rPr>
      <t>、</t>
    </r>
    <r>
      <rPr>
        <sz val="10"/>
        <rFont val="Menlo"/>
        <family val="2"/>
      </rPr>
      <t>@yield</t>
    </r>
    <r>
      <rPr>
        <sz val="10"/>
        <rFont val="Noto Sans CJK SC"/>
        <family val="2"/>
      </rPr>
      <t>、または コンポーネント</t>
    </r>
    <r>
      <rPr>
        <sz val="10"/>
        <rFont val="Menlo"/>
        <family val="2"/>
      </rPr>
      <t>)</t>
    </r>
  </si>
  <si>
    <t>resources/views/layouts/</t>
  </si>
  <si>
    <r>
      <rPr>
        <sz val="10"/>
        <rFont val="Yu Gothic"/>
        <family val="3"/>
        <charset val="128"/>
      </rPr>
      <t>Blade</t>
    </r>
    <r>
      <rPr>
        <sz val="10"/>
        <rFont val="Noto Sans CJK SC"/>
        <family val="2"/>
      </rPr>
      <t>テンプレート</t>
    </r>
  </si>
  <si>
    <r>
      <rPr>
        <sz val="10"/>
        <rFont val="Menlo"/>
        <family val="2"/>
      </rPr>
      <t xml:space="preserve">htmlspecialchars() </t>
    </r>
    <r>
      <rPr>
        <sz val="10"/>
        <rFont val="Noto Sans CJK SC"/>
        <family val="2"/>
      </rPr>
      <t>で出力をエスケープ</t>
    </r>
  </si>
  <si>
    <r>
      <rPr>
        <sz val="10"/>
        <rFont val="Menlo"/>
        <family val="2"/>
      </rPr>
      <t>{{ $</t>
    </r>
    <r>
      <rPr>
        <sz val="10"/>
        <rFont val="Noto Sans CJK SC"/>
        <family val="2"/>
      </rPr>
      <t xml:space="preserve">変数 </t>
    </r>
    <r>
      <rPr>
        <sz val="10"/>
        <rFont val="Menlo"/>
        <family val="2"/>
      </rPr>
      <t>}}(</t>
    </r>
    <r>
      <rPr>
        <sz val="10"/>
        <rFont val="Noto Sans CJK SC"/>
        <family val="2"/>
      </rPr>
      <t>自動でエスケープされる</t>
    </r>
    <r>
      <rPr>
        <sz val="10"/>
        <rFont val="Menlo"/>
        <family val="2"/>
      </rPr>
      <t>)</t>
    </r>
  </si>
  <si>
    <t>resources/views/</t>
  </si>
  <si>
    <t>入力</t>
  </si>
  <si>
    <t>$_POST['email']</t>
  </si>
  <si>
    <t>$request-&gt;input('email')</t>
  </si>
  <si>
    <t>コントローラー</t>
  </si>
  <si>
    <t>リクエスト</t>
  </si>
  <si>
    <r>
      <rPr>
        <sz val="10"/>
        <rFont val="Yu Gothic"/>
        <family val="3"/>
        <charset val="128"/>
      </rPr>
      <t>Lesson 09</t>
    </r>
    <r>
      <rPr>
        <sz val="10"/>
        <rFont val="Noto Sans CJK SC"/>
        <family val="2"/>
      </rPr>
      <t>〜</t>
    </r>
    <r>
      <rPr>
        <sz val="10"/>
        <rFont val="Yu Gothic"/>
        <family val="3"/>
        <charset val="128"/>
      </rPr>
      <t>11</t>
    </r>
  </si>
  <si>
    <t>自作の入力チェック関数</t>
  </si>
  <si>
    <t>$request-&gt;validate([...])</t>
  </si>
  <si>
    <t>バリデーション</t>
  </si>
  <si>
    <t>エラーメッセージを配列に入れて画面に表示</t>
  </si>
  <si>
    <r>
      <rPr>
        <sz val="10"/>
        <rFont val="Menlo"/>
        <family val="2"/>
      </rPr>
      <t>$errors</t>
    </r>
    <r>
      <rPr>
        <sz val="10"/>
        <rFont val="Noto Sans CJK SC"/>
        <family val="2"/>
      </rPr>
      <t>、</t>
    </r>
    <r>
      <rPr>
        <sz val="10"/>
        <rFont val="Menlo"/>
        <family val="2"/>
      </rPr>
      <t>@error(</t>
    </r>
    <r>
      <rPr>
        <sz val="10"/>
        <rFont val="Noto Sans CJK SC"/>
        <family val="2"/>
      </rPr>
      <t>バリデーション失敗時に自動で渡される</t>
    </r>
    <r>
      <rPr>
        <sz val="10"/>
        <rFont val="Menlo"/>
        <family val="2"/>
      </rPr>
      <t>)</t>
    </r>
  </si>
  <si>
    <r>
      <rPr>
        <sz val="10"/>
        <rFont val="Menlo"/>
        <family val="2"/>
      </rPr>
      <t xml:space="preserve">PDO </t>
    </r>
    <r>
      <rPr>
        <sz val="10"/>
        <rFont val="Noto Sans CJK SC"/>
        <family val="2"/>
      </rPr>
      <t xml:space="preserve">で </t>
    </r>
    <r>
      <rPr>
        <sz val="10"/>
        <rFont val="Menlo"/>
        <family val="2"/>
      </rPr>
      <t xml:space="preserve">SQL </t>
    </r>
    <r>
      <rPr>
        <sz val="10"/>
        <rFont val="Noto Sans CJK SC"/>
        <family val="2"/>
      </rPr>
      <t>を組み立てて実行</t>
    </r>
  </si>
  <si>
    <r>
      <rPr>
        <sz val="10"/>
        <rFont val="Menlo"/>
        <family val="2"/>
      </rPr>
      <t xml:space="preserve">Eloquent(Product::create(...) </t>
    </r>
    <r>
      <rPr>
        <sz val="10"/>
        <rFont val="Noto Sans CJK SC"/>
        <family val="2"/>
      </rPr>
      <t>など</t>
    </r>
    <r>
      <rPr>
        <sz val="10"/>
        <rFont val="Menlo"/>
        <family val="2"/>
      </rPr>
      <t>)</t>
    </r>
  </si>
  <si>
    <t>app/Models/</t>
  </si>
  <si>
    <r>
      <rPr>
        <sz val="10"/>
        <rFont val="Yu Gothic"/>
        <family val="3"/>
        <charset val="128"/>
      </rPr>
      <t>Eloquent:</t>
    </r>
    <r>
      <rPr>
        <sz val="10"/>
        <rFont val="Noto Sans CJK SC"/>
        <family val="2"/>
      </rPr>
      <t>利用の開始</t>
    </r>
  </si>
  <si>
    <t>ログイン</t>
  </si>
  <si>
    <r>
      <rPr>
        <sz val="10"/>
        <rFont val="Menlo"/>
        <family val="2"/>
      </rPr>
      <t xml:space="preserve">$_SESSION </t>
    </r>
    <r>
      <rPr>
        <sz val="10"/>
        <rFont val="Noto Sans CJK SC"/>
        <family val="2"/>
      </rPr>
      <t>でログイン管理</t>
    </r>
  </si>
  <si>
    <r>
      <rPr>
        <sz val="10"/>
        <rFont val="Menlo"/>
        <family val="2"/>
      </rPr>
      <t>Auth(</t>
    </r>
    <r>
      <rPr>
        <sz val="10"/>
        <rFont val="Noto Sans CJK SC"/>
        <family val="2"/>
      </rPr>
      <t>認証の仕組み</t>
    </r>
    <r>
      <rPr>
        <sz val="10"/>
        <rFont val="Menlo"/>
        <family val="2"/>
      </rPr>
      <t>)</t>
    </r>
  </si>
  <si>
    <r>
      <rPr>
        <sz val="10"/>
        <rFont val="Yu Gothic"/>
        <family val="3"/>
        <charset val="128"/>
      </rPr>
      <t xml:space="preserve">Laravel </t>
    </r>
    <r>
      <rPr>
        <sz val="10"/>
        <rFont val="Noto Sans CJK SC"/>
        <family val="2"/>
      </rPr>
      <t>標準</t>
    </r>
  </si>
  <si>
    <t>認証</t>
  </si>
  <si>
    <t>password_hash()</t>
  </si>
  <si>
    <t>Hash::make()</t>
  </si>
  <si>
    <t>ハッシュ</t>
  </si>
  <si>
    <t>画面の移動</t>
  </si>
  <si>
    <t>header('Location: ...')</t>
  </si>
  <si>
    <t>redirect(...)</t>
  </si>
  <si>
    <r>
      <rPr>
        <sz val="10"/>
        <rFont val="Yu Gothic"/>
        <family val="3"/>
        <charset val="128"/>
      </rPr>
      <t>HTTP</t>
    </r>
    <r>
      <rPr>
        <sz val="10"/>
        <rFont val="Noto Sans CJK SC"/>
        <family val="2"/>
      </rPr>
      <t>リダイレクト</t>
    </r>
  </si>
  <si>
    <t>集計</t>
  </si>
  <si>
    <t>項目数</t>
  </si>
  <si>
    <t>説明できる</t>
  </si>
  <si>
    <t>曖昧</t>
  </si>
  <si>
    <r>
      <rPr>
        <b/>
        <sz val="10"/>
        <rFont val="Noto Sans CJK SC"/>
        <family val="2"/>
      </rPr>
      <t>理解度</t>
    </r>
    <r>
      <rPr>
        <b/>
        <sz val="10"/>
        <rFont val="Yu Gothic"/>
        <family val="3"/>
        <charset val="128"/>
      </rPr>
      <t>(</t>
    </r>
    <r>
      <rPr>
        <b/>
        <sz val="10"/>
        <rFont val="Noto Sans CJK SC"/>
        <family val="2"/>
      </rPr>
      <t xml:space="preserve">説明できる </t>
    </r>
    <r>
      <rPr>
        <b/>
        <sz val="10"/>
        <rFont val="Yu Gothic"/>
        <family val="3"/>
        <charset val="128"/>
      </rPr>
      <t xml:space="preserve">÷ </t>
    </r>
    <r>
      <rPr>
        <b/>
        <sz val="10"/>
        <rFont val="Noto Sans CJK SC"/>
        <family val="2"/>
      </rPr>
      <t>項目数</t>
    </r>
    <r>
      <rPr>
        <b/>
        <sz val="10"/>
        <rFont val="Yu Gothic"/>
        <family val="3"/>
        <charset val="128"/>
      </rPr>
      <t>)</t>
    </r>
  </si>
  <si>
    <r>
      <rPr>
        <i/>
        <sz val="9"/>
        <color rgb="FF595959"/>
        <rFont val="Noto Sans CJK SC"/>
        <family val="2"/>
      </rPr>
      <t>理解度の目安</t>
    </r>
    <r>
      <rPr>
        <i/>
        <sz val="9"/>
        <color rgb="FF595959"/>
        <rFont val="Yu Gothic"/>
        <family val="3"/>
        <charset val="128"/>
      </rPr>
      <t>:</t>
    </r>
    <r>
      <rPr>
        <i/>
        <sz val="9"/>
        <color rgb="FF595959"/>
        <rFont val="Noto Sans CJK SC"/>
        <family val="2"/>
      </rPr>
      <t>「説明できる」</t>
    </r>
    <r>
      <rPr>
        <i/>
        <sz val="9"/>
        <color rgb="FF595959"/>
        <rFont val="Yu Gothic"/>
        <family val="3"/>
        <charset val="128"/>
      </rPr>
      <t xml:space="preserve">= </t>
    </r>
    <r>
      <rPr>
        <i/>
        <sz val="9"/>
        <color rgb="FF595959"/>
        <rFont val="Noto Sans CJK SC"/>
        <family val="2"/>
      </rPr>
      <t>その行の</t>
    </r>
    <r>
      <rPr>
        <i/>
        <sz val="9"/>
        <color rgb="FF595959"/>
        <rFont val="Yu Gothic"/>
        <family val="3"/>
        <charset val="128"/>
      </rPr>
      <t>Laravel</t>
    </r>
    <r>
      <rPr>
        <i/>
        <sz val="9"/>
        <color rgb="FF595959"/>
        <rFont val="Noto Sans CJK SC"/>
        <family val="2"/>
      </rPr>
      <t>側を、何も見ずに書けて、なぜそこに置くかを言える状態。</t>
    </r>
  </si>
  <si>
    <r>
      <rPr>
        <i/>
        <sz val="9"/>
        <color rgb="FF595959"/>
        <rFont val="Noto Sans CJK SC"/>
        <family val="2"/>
      </rPr>
      <t>行を足すときは、表の最終行のすぐ下に追記し、集計の範囲</t>
    </r>
    <r>
      <rPr>
        <i/>
        <sz val="9"/>
        <color rgb="FF595959"/>
        <rFont val="Yu Gothic"/>
        <family val="3"/>
        <charset val="128"/>
      </rPr>
      <t>(C</t>
    </r>
    <r>
      <rPr>
        <i/>
        <sz val="9"/>
        <color rgb="FF595959"/>
        <rFont val="Noto Sans CJK SC"/>
        <family val="2"/>
      </rPr>
      <t>列の数式</t>
    </r>
    <r>
      <rPr>
        <i/>
        <sz val="9"/>
        <color rgb="FF595959"/>
        <rFont val="Yu Gothic"/>
        <family val="3"/>
        <charset val="128"/>
      </rPr>
      <t>)</t>
    </r>
    <r>
      <rPr>
        <i/>
        <sz val="9"/>
        <color rgb="FF595959"/>
        <rFont val="Noto Sans CJK SC"/>
        <family val="2"/>
      </rPr>
      <t>も広げてください。</t>
    </r>
  </si>
  <si>
    <r>
      <rPr>
        <b/>
        <sz val="14"/>
        <rFont val="Yu Gothic"/>
        <family val="3"/>
        <charset val="128"/>
      </rPr>
      <t>1</t>
    </r>
    <r>
      <rPr>
        <b/>
        <sz val="14"/>
        <rFont val="Noto Sans CJK SC"/>
        <family val="2"/>
      </rPr>
      <t>つの機能の進め方</t>
    </r>
    <r>
      <rPr>
        <b/>
        <sz val="14"/>
        <rFont val="Yu Gothic"/>
        <family val="3"/>
        <charset val="128"/>
      </rPr>
      <t>(</t>
    </r>
    <r>
      <rPr>
        <b/>
        <sz val="14"/>
        <rFont val="Noto Sans CJK SC"/>
        <family val="2"/>
      </rPr>
      <t>レッスンごとのチェック</t>
    </r>
    <r>
      <rPr>
        <b/>
        <sz val="14"/>
        <rFont val="Yu Gothic"/>
        <family val="3"/>
        <charset val="128"/>
      </rPr>
      <t>)</t>
    </r>
  </si>
  <si>
    <r>
      <rPr>
        <i/>
        <sz val="9"/>
        <color rgb="FF595959"/>
        <rFont val="Noto Sans CJK SC"/>
        <family val="2"/>
      </rPr>
      <t>各ステップが終わったら「済」を選びます。①前回の写経コードを開き、その機能がしていることを自分の言葉で箇条書きにする ②対応表を見て、</t>
    </r>
    <r>
      <rPr>
        <i/>
        <sz val="9"/>
        <color rgb="FF595959"/>
        <rFont val="Yu Gothic"/>
        <family val="3"/>
        <charset val="128"/>
      </rPr>
      <t>Laravel</t>
    </r>
    <r>
      <rPr>
        <i/>
        <sz val="9"/>
        <color rgb="FF595959"/>
        <rFont val="Noto Sans CJK SC"/>
        <family val="2"/>
      </rPr>
      <t>のどこに当たるか決める ③公式ドキュメントとヒントで</t>
    </r>
    <r>
      <rPr>
        <i/>
        <sz val="9"/>
        <color rgb="FF595959"/>
        <rFont val="Yu Gothic"/>
        <family val="3"/>
        <charset val="128"/>
      </rPr>
      <t>Laravel</t>
    </r>
    <r>
      <rPr>
        <i/>
        <sz val="9"/>
        <color rgb="FF595959"/>
        <rFont val="Noto Sans CJK SC"/>
        <family val="2"/>
      </rPr>
      <t>版を書く ④動いたら前回のコードと見比べる</t>
    </r>
  </si>
  <si>
    <t>教材レッスン</t>
  </si>
  <si>
    <t>内容</t>
  </si>
  <si>
    <t>①何をしているか箇条書き</t>
  </si>
  <si>
    <t>②置き場所を決める</t>
  </si>
  <si>
    <r>
      <rPr>
        <b/>
        <sz val="10"/>
        <color rgb="FFFFFFFF"/>
        <rFont val="Yu Gothic"/>
        <family val="3"/>
        <charset val="128"/>
      </rPr>
      <t>③Laravel</t>
    </r>
    <r>
      <rPr>
        <b/>
        <sz val="10"/>
        <color rgb="FFFFFFFF"/>
        <rFont val="Noto Sans CJK SC"/>
        <family val="2"/>
      </rPr>
      <t>版を書く</t>
    </r>
  </si>
  <si>
    <t>④前回と見比べる</t>
  </si>
  <si>
    <t>済のステップ数</t>
  </si>
  <si>
    <t>詰まった点・メモ</t>
  </si>
  <si>
    <r>
      <rPr>
        <sz val="10"/>
        <rFont val="Yu Gothic"/>
        <family val="3"/>
        <charset val="128"/>
      </rPr>
      <t>DB</t>
    </r>
    <r>
      <rPr>
        <sz val="10"/>
        <rFont val="Noto Sans CJK SC"/>
        <family val="2"/>
      </rPr>
      <t>作成</t>
    </r>
    <r>
      <rPr>
        <sz val="10"/>
        <rFont val="Yu Gothic"/>
        <family val="3"/>
        <charset val="128"/>
      </rPr>
      <t>(</t>
    </r>
    <r>
      <rPr>
        <sz val="10"/>
        <rFont val="Noto Sans CJK SC"/>
        <family val="2"/>
      </rPr>
      <t>テーブル → マイグレーション</t>
    </r>
    <r>
      <rPr>
        <sz val="10"/>
        <rFont val="Yu Gothic"/>
        <family val="3"/>
        <charset val="128"/>
      </rPr>
      <t>)</t>
    </r>
  </si>
  <si>
    <r>
      <rPr>
        <sz val="10"/>
        <rFont val="Noto Sans CJK SC"/>
        <family val="2"/>
      </rPr>
      <t>画面の見た目</t>
    </r>
    <r>
      <rPr>
        <sz val="10"/>
        <rFont val="Yu Gothic"/>
        <family val="3"/>
        <charset val="128"/>
      </rPr>
      <t>(</t>
    </r>
    <r>
      <rPr>
        <sz val="10"/>
        <rFont val="Noto Sans CJK SC"/>
        <family val="2"/>
      </rPr>
      <t>共通レイアウト、主要画面</t>
    </r>
    <r>
      <rPr>
        <sz val="10"/>
        <rFont val="Yu Gothic"/>
        <family val="3"/>
        <charset val="128"/>
      </rPr>
      <t>)</t>
    </r>
  </si>
  <si>
    <t>会員登録・ログイン</t>
  </si>
  <si>
    <r>
      <rPr>
        <sz val="10"/>
        <rFont val="Yu Gothic"/>
        <family val="3"/>
        <charset val="128"/>
      </rPr>
      <t>Laravel</t>
    </r>
    <r>
      <rPr>
        <sz val="10"/>
        <rFont val="Noto Sans CJK SC"/>
        <family val="2"/>
      </rPr>
      <t>の自動生成</t>
    </r>
    <r>
      <rPr>
        <sz val="10"/>
        <rFont val="Yu Gothic"/>
        <family val="3"/>
        <charset val="128"/>
      </rPr>
      <t xml:space="preserve">(Breeze </t>
    </r>
    <r>
      <rPr>
        <sz val="10"/>
        <rFont val="Noto Sans CJK SC"/>
        <family val="2"/>
      </rPr>
      <t>など</t>
    </r>
    <r>
      <rPr>
        <sz val="10"/>
        <rFont val="Yu Gothic"/>
        <family val="3"/>
        <charset val="128"/>
      </rPr>
      <t>)</t>
    </r>
    <r>
      <rPr>
        <sz val="10"/>
        <rFont val="Noto Sans CJK SC"/>
        <family val="2"/>
      </rPr>
      <t>を使うか、自分で書くかを、この回に入るときに決める</t>
    </r>
  </si>
  <si>
    <r>
      <rPr>
        <sz val="10"/>
        <rFont val="Yu Gothic"/>
        <family val="3"/>
        <charset val="128"/>
      </rPr>
      <t>Lesson 12</t>
    </r>
    <r>
      <rPr>
        <sz val="10"/>
        <rFont val="Noto Sans CJK SC"/>
        <family val="2"/>
      </rPr>
      <t>〜</t>
    </r>
    <r>
      <rPr>
        <sz val="10"/>
        <rFont val="Yu Gothic"/>
        <family val="3"/>
        <charset val="128"/>
      </rPr>
      <t>14</t>
    </r>
  </si>
  <si>
    <r>
      <rPr>
        <sz val="10"/>
        <rFont val="Noto Sans CJK SC"/>
        <family val="2"/>
      </rPr>
      <t>内容は要確認</t>
    </r>
    <r>
      <rPr>
        <sz val="10"/>
        <rFont val="Yu Gothic"/>
        <family val="3"/>
        <charset val="128"/>
      </rPr>
      <t>(</t>
    </r>
    <r>
      <rPr>
        <sz val="10"/>
        <rFont val="Noto Sans CJK SC"/>
        <family val="2"/>
      </rPr>
      <t>ログアウト・プロフィール・退会など</t>
    </r>
    <r>
      <rPr>
        <sz val="10"/>
        <rFont val="Yu Gothic"/>
        <family val="3"/>
        <charset val="128"/>
      </rPr>
      <t>)</t>
    </r>
  </si>
  <si>
    <r>
      <rPr>
        <sz val="10"/>
        <rFont val="Yu Gothic"/>
        <family val="3"/>
        <charset val="128"/>
      </rPr>
      <t>Lesson 15</t>
    </r>
    <r>
      <rPr>
        <sz val="10"/>
        <rFont val="Noto Sans CJK SC"/>
        <family val="2"/>
      </rPr>
      <t>〜</t>
    </r>
    <r>
      <rPr>
        <sz val="10"/>
        <rFont val="Yu Gothic"/>
        <family val="3"/>
        <charset val="128"/>
      </rPr>
      <t>16</t>
    </r>
  </si>
  <si>
    <t>パスワード変更・パスワードリマインダー</t>
  </si>
  <si>
    <r>
      <rPr>
        <sz val="10"/>
        <rFont val="Yu Gothic"/>
        <family val="3"/>
        <charset val="128"/>
      </rPr>
      <t>Lesson 17</t>
    </r>
    <r>
      <rPr>
        <sz val="10"/>
        <rFont val="Noto Sans CJK SC"/>
        <family val="2"/>
      </rPr>
      <t>〜</t>
    </r>
    <r>
      <rPr>
        <sz val="10"/>
        <rFont val="Yu Gothic"/>
        <family val="3"/>
        <charset val="128"/>
      </rPr>
      <t>19</t>
    </r>
  </si>
  <si>
    <r>
      <rPr>
        <sz val="10"/>
        <rFont val="Noto Sans CJK SC"/>
        <family val="2"/>
      </rPr>
      <t>商品登録</t>
    </r>
    <r>
      <rPr>
        <sz val="10"/>
        <rFont val="Yu Gothic"/>
        <family val="3"/>
        <charset val="128"/>
      </rPr>
      <t>(</t>
    </r>
    <r>
      <rPr>
        <sz val="10"/>
        <rFont val="Noto Sans CJK SC"/>
        <family val="2"/>
      </rPr>
      <t>編集・削除を含む</t>
    </r>
    <r>
      <rPr>
        <sz val="10"/>
        <rFont val="Yu Gothic"/>
        <family val="3"/>
        <charset val="128"/>
      </rPr>
      <t>)</t>
    </r>
  </si>
  <si>
    <r>
      <rPr>
        <sz val="10"/>
        <rFont val="Yu Gothic"/>
        <family val="3"/>
        <charset val="128"/>
      </rPr>
      <t>Lesson 20</t>
    </r>
    <r>
      <rPr>
        <sz val="10"/>
        <rFont val="Noto Sans CJK SC"/>
        <family val="2"/>
      </rPr>
      <t>〜</t>
    </r>
    <r>
      <rPr>
        <sz val="10"/>
        <rFont val="Yu Gothic"/>
        <family val="3"/>
        <charset val="128"/>
      </rPr>
      <t>21</t>
    </r>
  </si>
  <si>
    <t>商品一覧・商品詳細</t>
  </si>
  <si>
    <t>Lesson 22</t>
  </si>
  <si>
    <t>商品検索</t>
  </si>
  <si>
    <t>Lesson 23</t>
  </si>
  <si>
    <t>連絡掲示板</t>
  </si>
  <si>
    <t>Lesson 24</t>
  </si>
  <si>
    <t>お気に入り</t>
  </si>
  <si>
    <t>Lesson 25</t>
  </si>
  <si>
    <t>マイページ</t>
  </si>
  <si>
    <t>レッスン数</t>
  </si>
  <si>
    <r>
      <rPr>
        <b/>
        <sz val="10"/>
        <rFont val="Yu Gothic"/>
        <family val="3"/>
        <charset val="128"/>
      </rPr>
      <t>4</t>
    </r>
    <r>
      <rPr>
        <b/>
        <sz val="10"/>
        <rFont val="Noto Sans CJK SC"/>
        <family val="2"/>
      </rPr>
      <t>ステップとも済のレッスン</t>
    </r>
  </si>
  <si>
    <r>
      <rPr>
        <b/>
        <sz val="10"/>
        <rFont val="Noto Sans CJK SC"/>
        <family val="2"/>
      </rPr>
      <t>全体の進捗</t>
    </r>
    <r>
      <rPr>
        <b/>
        <sz val="10"/>
        <rFont val="Yu Gothic"/>
        <family val="3"/>
        <charset val="128"/>
      </rPr>
      <t>(</t>
    </r>
    <r>
      <rPr>
        <b/>
        <sz val="10"/>
        <rFont val="Noto Sans CJK SC"/>
        <family val="2"/>
      </rPr>
      <t xml:space="preserve">済のステップ </t>
    </r>
    <r>
      <rPr>
        <b/>
        <sz val="10"/>
        <rFont val="Yu Gothic"/>
        <family val="3"/>
        <charset val="128"/>
      </rPr>
      <t xml:space="preserve">÷ </t>
    </r>
    <r>
      <rPr>
        <b/>
        <sz val="10"/>
        <rFont val="Noto Sans CJK SC"/>
        <family val="2"/>
      </rPr>
      <t>全ステップ</t>
    </r>
    <r>
      <rPr>
        <b/>
        <sz val="10"/>
        <rFont val="Yu Gothic"/>
        <family val="3"/>
        <charset val="128"/>
      </rPr>
      <t>)</t>
    </r>
  </si>
  <si>
    <r>
      <rPr>
        <i/>
        <sz val="9"/>
        <color rgb="FF595959"/>
        <rFont val="Noto Sans CJK SC"/>
        <family val="2"/>
      </rPr>
      <t>カート・注文確定・注文履歴は教材にない機能のため、この表には入れていません</t>
    </r>
    <r>
      <rPr>
        <i/>
        <sz val="9"/>
        <color rgb="FF595959"/>
        <rFont val="Yu Gothic"/>
        <family val="3"/>
        <charset val="128"/>
      </rPr>
      <t>(</t>
    </r>
    <r>
      <rPr>
        <i/>
        <sz val="9"/>
        <color rgb="FF595959"/>
        <rFont val="Noto Sans CJK SC"/>
        <family val="2"/>
      </rPr>
      <t>前回のコードがないので、ヒントだけで自力で作ります</t>
    </r>
    <r>
      <rPr>
        <i/>
        <sz val="9"/>
        <color rgb="FF595959"/>
        <rFont val="Yu Gothic"/>
        <family val="3"/>
        <charset val="128"/>
      </rPr>
      <t>)</t>
    </r>
    <r>
      <rPr>
        <i/>
        <sz val="9"/>
        <color rgb="FF595959"/>
        <rFont val="Noto Sans CJK SC"/>
        <family val="2"/>
      </rPr>
      <t>。</t>
    </r>
  </si>
  <si>
    <t>済</t>
  </si>
  <si>
    <t>済</t>
    <phoneticPr fontId="12"/>
  </si>
  <si>
    <t>参照先のカラムがどれか。</t>
    <rPh sb="0" eb="3">
      <t>サンショウ</t>
    </rPh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</si>
</sst>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charset val="1"/>
    </font>
    <font>
      <b/>
      <sz val="14"/>
      <name val="Noto Sans CJK SC"/>
      <family val="2"/>
    </font>
    <font>
      <b/>
      <sz val="14"/>
      <name val="Yu Gothic"/>
      <family val="3"/>
      <charset val="128"/>
    </font>
    <font>
      <i/>
      <sz val="9"/>
      <color rgb="FF595959"/>
      <name val="Noto Sans CJK SC"/>
      <family val="2"/>
    </font>
    <font>
      <i/>
      <sz val="9"/>
      <color rgb="FF595959"/>
      <name val="Yu Gothic"/>
      <family val="3"/>
      <charset val="128"/>
    </font>
    <font>
      <b/>
      <sz val="10"/>
      <color rgb="FFFFFFFF"/>
      <name val="Yu Gothic"/>
      <family val="3"/>
      <charset val="128"/>
    </font>
    <font>
      <b/>
      <sz val="10"/>
      <color rgb="FFFFFFFF"/>
      <name val="Noto Sans CJK SC"/>
      <family val="2"/>
    </font>
    <font>
      <sz val="10"/>
      <name val="Yu Gothic"/>
      <family val="3"/>
      <charset val="128"/>
    </font>
    <font>
      <sz val="10"/>
      <name val="Menlo"/>
      <family val="2"/>
    </font>
    <font>
      <sz val="10"/>
      <name val="Noto Sans CJK SC"/>
      <family val="2"/>
    </font>
    <font>
      <b/>
      <sz val="10"/>
      <name val="Noto Sans CJK SC"/>
      <family val="2"/>
    </font>
    <font>
      <b/>
      <sz val="10"/>
      <name val="Yu Gothic"/>
      <family val="3"/>
      <charset val="128"/>
    </font>
    <font>
      <sz val="6"/>
      <name val="Yu Gothic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0" fontId="10" fillId="0" borderId="0" xfId="0" applyFont="1"/>
    <xf numFmtId="0" fontId="7" fillId="0" borderId="1" xfId="0" applyFont="1" applyBorder="1"/>
    <xf numFmtId="9" fontId="7" fillId="0" borderId="1" xfId="0" applyNumberFormat="1" applyFont="1" applyBorder="1"/>
    <xf numFmtId="0" fontId="2" fillId="0" borderId="0" xfId="0" applyFont="1"/>
    <xf numFmtId="0" fontId="7" fillId="0" borderId="1" xfId="0" applyFont="1" applyBorder="1" applyAlignment="1">
      <alignment horizontal="center" vertical="top"/>
    </xf>
    <xf numFmtId="0" fontId="10" fillId="4" borderId="1" xfId="0" applyFont="1" applyFill="1" applyBorder="1"/>
    <xf numFmtId="0" fontId="11" fillId="4" borderId="1" xfId="0" applyFont="1" applyFill="1" applyBorder="1"/>
  </cellXfs>
  <cellStyles count="1">
    <cellStyle name="標準" xfId="0" builtinId="0"/>
  </cellStyles>
  <dxfs count="4"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2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5" sqref="H5"/>
    </sheetView>
  </sheetViews>
  <sheetFormatPr baseColWidth="10" defaultColWidth="8.6640625" defaultRowHeight="15"/>
  <cols>
    <col min="1" max="1" width="5" customWidth="1"/>
    <col min="2" max="2" width="11" customWidth="1"/>
    <col min="3" max="3" width="36" customWidth="1"/>
    <col min="4" max="4" width="40" customWidth="1"/>
    <col min="5" max="5" width="30" customWidth="1"/>
    <col min="6" max="6" width="22" customWidth="1"/>
    <col min="7" max="7" width="14" customWidth="1"/>
    <col min="8" max="8" width="11" customWidth="1"/>
    <col min="9" max="9" width="36" customWidth="1"/>
  </cols>
  <sheetData>
    <row r="1" spans="1:9" ht="22">
      <c r="A1" s="1" t="s">
        <v>0</v>
      </c>
    </row>
    <row r="2" spans="1:9">
      <c r="A2" s="2" t="s">
        <v>1</v>
      </c>
    </row>
    <row r="4" spans="1:9" ht="29">
      <c r="A4" s="3" t="s">
        <v>2</v>
      </c>
      <c r="B4" s="4" t="s">
        <v>3</v>
      </c>
      <c r="C4" s="4" t="s">
        <v>4</v>
      </c>
      <c r="D4" s="3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spans="1:9" ht="18">
      <c r="A5" s="5">
        <v>1</v>
      </c>
      <c r="B5" s="5" t="s">
        <v>11</v>
      </c>
      <c r="C5" s="6" t="s">
        <v>12</v>
      </c>
      <c r="D5" s="7" t="s">
        <v>13</v>
      </c>
      <c r="E5" s="5" t="s">
        <v>14</v>
      </c>
      <c r="F5" s="7" t="s">
        <v>13</v>
      </c>
      <c r="G5" s="5" t="s">
        <v>15</v>
      </c>
      <c r="H5" s="8" t="s">
        <v>64</v>
      </c>
      <c r="I5" s="9"/>
    </row>
    <row r="6" spans="1:9" ht="36">
      <c r="A6" s="5">
        <v>2</v>
      </c>
      <c r="B6" s="7" t="s">
        <v>17</v>
      </c>
      <c r="C6" s="6" t="s">
        <v>18</v>
      </c>
      <c r="D6" s="7" t="s">
        <v>19</v>
      </c>
      <c r="E6" s="5" t="s">
        <v>20</v>
      </c>
      <c r="F6" s="7" t="s">
        <v>21</v>
      </c>
      <c r="G6" s="5" t="s">
        <v>22</v>
      </c>
      <c r="H6" s="8" t="s">
        <v>16</v>
      </c>
      <c r="I6" s="9"/>
    </row>
    <row r="7" spans="1:9" ht="32">
      <c r="A7" s="5">
        <v>3</v>
      </c>
      <c r="B7" s="7" t="s">
        <v>17</v>
      </c>
      <c r="C7" s="6" t="s">
        <v>23</v>
      </c>
      <c r="D7" s="7" t="s">
        <v>24</v>
      </c>
      <c r="E7" s="5" t="s">
        <v>25</v>
      </c>
      <c r="F7" s="7" t="s">
        <v>26</v>
      </c>
      <c r="G7" s="5" t="s">
        <v>22</v>
      </c>
      <c r="H7" s="8" t="s">
        <v>16</v>
      </c>
      <c r="I7" s="9"/>
    </row>
    <row r="8" spans="1:9" ht="28">
      <c r="A8" s="5">
        <v>4</v>
      </c>
      <c r="B8" s="7" t="s">
        <v>17</v>
      </c>
      <c r="C8" s="6" t="s">
        <v>27</v>
      </c>
      <c r="D8" s="6" t="s">
        <v>28</v>
      </c>
      <c r="E8" s="5" t="s">
        <v>29</v>
      </c>
      <c r="F8" s="5" t="s">
        <v>30</v>
      </c>
      <c r="G8" s="5" t="s">
        <v>22</v>
      </c>
      <c r="H8" s="8" t="s">
        <v>16</v>
      </c>
      <c r="I8" s="9"/>
    </row>
    <row r="9" spans="1:9" ht="18">
      <c r="A9" s="5">
        <v>5</v>
      </c>
      <c r="B9" s="7" t="s">
        <v>17</v>
      </c>
      <c r="C9" s="6" t="s">
        <v>31</v>
      </c>
      <c r="D9" s="6" t="s">
        <v>32</v>
      </c>
      <c r="E9" s="5" t="s">
        <v>33</v>
      </c>
      <c r="F9" s="5" t="s">
        <v>30</v>
      </c>
      <c r="G9" s="5" t="s">
        <v>22</v>
      </c>
      <c r="H9" s="8" t="s">
        <v>16</v>
      </c>
      <c r="I9" s="9"/>
    </row>
    <row r="10" spans="1:9" ht="18">
      <c r="A10" s="5">
        <v>6</v>
      </c>
      <c r="B10" s="7" t="s">
        <v>34</v>
      </c>
      <c r="C10" s="6" t="s">
        <v>35</v>
      </c>
      <c r="D10" s="6" t="s">
        <v>36</v>
      </c>
      <c r="E10" s="7" t="s">
        <v>37</v>
      </c>
      <c r="F10" s="7" t="s">
        <v>38</v>
      </c>
      <c r="G10" s="5" t="s">
        <v>39</v>
      </c>
      <c r="H10" s="8" t="s">
        <v>16</v>
      </c>
      <c r="I10" s="9"/>
    </row>
    <row r="11" spans="1:9" ht="18">
      <c r="A11" s="5">
        <v>7</v>
      </c>
      <c r="B11" s="7" t="s">
        <v>34</v>
      </c>
      <c r="C11" s="7" t="s">
        <v>40</v>
      </c>
      <c r="D11" s="6" t="s">
        <v>41</v>
      </c>
      <c r="E11" s="7" t="s">
        <v>37</v>
      </c>
      <c r="F11" s="7" t="s">
        <v>42</v>
      </c>
      <c r="G11" s="5" t="s">
        <v>39</v>
      </c>
      <c r="H11" s="8" t="s">
        <v>16</v>
      </c>
      <c r="I11" s="9"/>
    </row>
    <row r="12" spans="1:9" ht="28">
      <c r="A12" s="5">
        <v>8</v>
      </c>
      <c r="B12" s="7" t="s">
        <v>34</v>
      </c>
      <c r="C12" s="7" t="s">
        <v>43</v>
      </c>
      <c r="D12" s="6" t="s">
        <v>44</v>
      </c>
      <c r="E12" s="5" t="s">
        <v>33</v>
      </c>
      <c r="F12" s="7" t="s">
        <v>42</v>
      </c>
      <c r="G12" s="5" t="s">
        <v>39</v>
      </c>
      <c r="H12" s="8" t="s">
        <v>16</v>
      </c>
      <c r="I12" s="9"/>
    </row>
    <row r="13" spans="1:9" ht="18">
      <c r="A13" s="5">
        <v>9</v>
      </c>
      <c r="B13" s="5" t="s">
        <v>11</v>
      </c>
      <c r="C13" s="6" t="s">
        <v>45</v>
      </c>
      <c r="D13" s="6" t="s">
        <v>46</v>
      </c>
      <c r="E13" s="5" t="s">
        <v>47</v>
      </c>
      <c r="F13" s="5" t="s">
        <v>48</v>
      </c>
      <c r="G13" s="5" t="s">
        <v>39</v>
      </c>
      <c r="H13" s="8" t="s">
        <v>16</v>
      </c>
      <c r="I13" s="9"/>
    </row>
    <row r="14" spans="1:9" ht="18">
      <c r="A14" s="5">
        <v>10</v>
      </c>
      <c r="B14" s="7" t="s">
        <v>49</v>
      </c>
      <c r="C14" s="6" t="s">
        <v>50</v>
      </c>
      <c r="D14" s="6" t="s">
        <v>51</v>
      </c>
      <c r="E14" s="5" t="s">
        <v>52</v>
      </c>
      <c r="F14" s="7" t="s">
        <v>53</v>
      </c>
      <c r="G14" s="5" t="s">
        <v>39</v>
      </c>
      <c r="H14" s="8" t="s">
        <v>16</v>
      </c>
      <c r="I14" s="9"/>
    </row>
    <row r="15" spans="1:9" ht="18">
      <c r="A15" s="5">
        <v>11</v>
      </c>
      <c r="B15" s="7" t="s">
        <v>49</v>
      </c>
      <c r="C15" s="6" t="s">
        <v>54</v>
      </c>
      <c r="D15" s="6" t="s">
        <v>55</v>
      </c>
      <c r="E15" s="5" t="s">
        <v>52</v>
      </c>
      <c r="F15" s="7" t="s">
        <v>56</v>
      </c>
      <c r="G15" s="5" t="s">
        <v>39</v>
      </c>
      <c r="H15" s="8" t="s">
        <v>16</v>
      </c>
      <c r="I15" s="9"/>
    </row>
    <row r="16" spans="1:9" ht="18">
      <c r="A16" s="5">
        <v>12</v>
      </c>
      <c r="B16" s="7" t="s">
        <v>57</v>
      </c>
      <c r="C16" s="6" t="s">
        <v>58</v>
      </c>
      <c r="D16" s="6" t="s">
        <v>59</v>
      </c>
      <c r="E16" s="7" t="s">
        <v>37</v>
      </c>
      <c r="F16" s="5" t="s">
        <v>60</v>
      </c>
      <c r="G16" s="5" t="s">
        <v>39</v>
      </c>
      <c r="H16" s="8" t="s">
        <v>16</v>
      </c>
      <c r="I16" s="9"/>
    </row>
    <row r="18" spans="1:3">
      <c r="A18" s="10" t="s">
        <v>61</v>
      </c>
    </row>
    <row r="19" spans="1:3" ht="17">
      <c r="A19" s="15" t="s">
        <v>62</v>
      </c>
      <c r="B19" s="15"/>
      <c r="C19" s="11">
        <f>COUNTA(C5:C16)</f>
        <v>12</v>
      </c>
    </row>
    <row r="20" spans="1:3" ht="17">
      <c r="A20" s="15" t="s">
        <v>63</v>
      </c>
      <c r="B20" s="15"/>
      <c r="C20" s="11">
        <f>COUNTIF(H5:H16,"説明できる")</f>
        <v>0</v>
      </c>
    </row>
    <row r="21" spans="1:3" ht="17">
      <c r="A21" s="15" t="s">
        <v>64</v>
      </c>
      <c r="B21" s="15"/>
      <c r="C21" s="11">
        <f>COUNTIF(H5:H16,"曖昧")</f>
        <v>1</v>
      </c>
    </row>
    <row r="22" spans="1:3" ht="17">
      <c r="A22" s="15" t="s">
        <v>16</v>
      </c>
      <c r="B22" s="15"/>
      <c r="C22" s="11">
        <f>COUNTIF(H5:H16,"未")</f>
        <v>11</v>
      </c>
    </row>
    <row r="23" spans="1:3" ht="17">
      <c r="A23" s="15" t="s">
        <v>65</v>
      </c>
      <c r="B23" s="15"/>
      <c r="C23" s="12">
        <f>IF(C19=0,0,C20/C19)</f>
        <v>0</v>
      </c>
    </row>
    <row r="25" spans="1:3">
      <c r="A25" s="2" t="s">
        <v>66</v>
      </c>
    </row>
    <row r="26" spans="1:3">
      <c r="A26" s="2" t="s">
        <v>67</v>
      </c>
    </row>
  </sheetData>
  <mergeCells count="5">
    <mergeCell ref="A19:B19"/>
    <mergeCell ref="A20:B20"/>
    <mergeCell ref="A21:B21"/>
    <mergeCell ref="A22:B22"/>
    <mergeCell ref="A23:B23"/>
  </mergeCells>
  <phoneticPr fontId="12"/>
  <conditionalFormatting sqref="H5:H16">
    <cfRule type="cellIs" dxfId="3" priority="2" operator="equal">
      <formula>"説明できる"</formula>
    </cfRule>
    <cfRule type="cellIs" dxfId="2" priority="3" operator="equal">
      <formula>"曖昧"</formula>
    </cfRule>
  </conditionalFormatting>
  <dataValidations count="1">
    <dataValidation type="list" allowBlank="1" sqref="H5:H16" xr:uid="{00000000-0002-0000-0000-000000000000}">
      <formula1>"未,曖昧,説明できる"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1"/>
  <sheetViews>
    <sheetView tabSelected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J5" sqref="J5"/>
    </sheetView>
  </sheetViews>
  <sheetFormatPr baseColWidth="10" defaultColWidth="8.6640625" defaultRowHeight="15"/>
  <cols>
    <col min="1" max="1" width="5" customWidth="1"/>
    <col min="2" max="2" width="14" customWidth="1"/>
    <col min="3" max="3" width="36" customWidth="1"/>
    <col min="4" max="7" width="14" customWidth="1"/>
    <col min="8" max="8" width="10" customWidth="1"/>
    <col min="9" max="9" width="44" customWidth="1"/>
  </cols>
  <sheetData>
    <row r="1" spans="1:9" ht="22">
      <c r="A1" s="13" t="s">
        <v>68</v>
      </c>
    </row>
    <row r="2" spans="1:9">
      <c r="A2" s="2" t="s">
        <v>69</v>
      </c>
    </row>
    <row r="4" spans="1:9" ht="29">
      <c r="A4" s="3" t="s">
        <v>2</v>
      </c>
      <c r="B4" s="4" t="s">
        <v>70</v>
      </c>
      <c r="C4" s="4" t="s">
        <v>71</v>
      </c>
      <c r="D4" s="4" t="s">
        <v>72</v>
      </c>
      <c r="E4" s="4" t="s">
        <v>73</v>
      </c>
      <c r="F4" s="3" t="s">
        <v>74</v>
      </c>
      <c r="G4" s="4" t="s">
        <v>75</v>
      </c>
      <c r="H4" s="4" t="s">
        <v>76</v>
      </c>
      <c r="I4" s="4" t="s">
        <v>77</v>
      </c>
    </row>
    <row r="5" spans="1:9" ht="18">
      <c r="A5" s="5">
        <v>1</v>
      </c>
      <c r="B5" s="5" t="s">
        <v>15</v>
      </c>
      <c r="C5" s="5" t="s">
        <v>78</v>
      </c>
      <c r="D5" s="9" t="s">
        <v>102</v>
      </c>
      <c r="E5" s="9" t="s">
        <v>103</v>
      </c>
      <c r="F5" s="9" t="s">
        <v>102</v>
      </c>
      <c r="G5" s="9"/>
      <c r="H5" s="14">
        <f t="shared" ref="H5:H15" si="0">COUNTIF(D5:G5,"済")</f>
        <v>3</v>
      </c>
      <c r="I5" s="9" t="s">
        <v>104</v>
      </c>
    </row>
    <row r="6" spans="1:9" ht="18">
      <c r="A6" s="5">
        <v>2</v>
      </c>
      <c r="B6" s="5" t="s">
        <v>22</v>
      </c>
      <c r="C6" s="7" t="s">
        <v>79</v>
      </c>
      <c r="D6" s="9"/>
      <c r="E6" s="9"/>
      <c r="F6" s="9"/>
      <c r="G6" s="9"/>
      <c r="H6" s="14">
        <f t="shared" si="0"/>
        <v>0</v>
      </c>
      <c r="I6" s="9"/>
    </row>
    <row r="7" spans="1:9" ht="32">
      <c r="A7" s="5">
        <v>3</v>
      </c>
      <c r="B7" s="5" t="s">
        <v>39</v>
      </c>
      <c r="C7" s="7" t="s">
        <v>80</v>
      </c>
      <c r="D7" s="9"/>
      <c r="E7" s="9"/>
      <c r="F7" s="9"/>
      <c r="G7" s="9"/>
      <c r="H7" s="14">
        <f t="shared" si="0"/>
        <v>0</v>
      </c>
      <c r="I7" s="9" t="s">
        <v>81</v>
      </c>
    </row>
    <row r="8" spans="1:9" ht="36">
      <c r="A8" s="5">
        <v>4</v>
      </c>
      <c r="B8" s="5" t="s">
        <v>82</v>
      </c>
      <c r="C8" s="7" t="s">
        <v>83</v>
      </c>
      <c r="D8" s="9"/>
      <c r="E8" s="9"/>
      <c r="F8" s="9"/>
      <c r="G8" s="9"/>
      <c r="H8" s="14">
        <f t="shared" si="0"/>
        <v>0</v>
      </c>
      <c r="I8" s="9"/>
    </row>
    <row r="9" spans="1:9" ht="18">
      <c r="A9" s="5">
        <v>5</v>
      </c>
      <c r="B9" s="5" t="s">
        <v>84</v>
      </c>
      <c r="C9" s="7" t="s">
        <v>85</v>
      </c>
      <c r="D9" s="9"/>
      <c r="E9" s="9"/>
      <c r="F9" s="9"/>
      <c r="G9" s="9"/>
      <c r="H9" s="14">
        <f t="shared" si="0"/>
        <v>0</v>
      </c>
      <c r="I9" s="9"/>
    </row>
    <row r="10" spans="1:9" ht="18">
      <c r="A10" s="5">
        <v>6</v>
      </c>
      <c r="B10" s="5" t="s">
        <v>86</v>
      </c>
      <c r="C10" s="7" t="s">
        <v>87</v>
      </c>
      <c r="D10" s="9"/>
      <c r="E10" s="9"/>
      <c r="F10" s="9"/>
      <c r="G10" s="9"/>
      <c r="H10" s="14">
        <f t="shared" si="0"/>
        <v>0</v>
      </c>
      <c r="I10" s="9"/>
    </row>
    <row r="11" spans="1:9" ht="18">
      <c r="A11" s="5">
        <v>7</v>
      </c>
      <c r="B11" s="5" t="s">
        <v>88</v>
      </c>
      <c r="C11" s="7" t="s">
        <v>89</v>
      </c>
      <c r="D11" s="9"/>
      <c r="E11" s="9"/>
      <c r="F11" s="9"/>
      <c r="G11" s="9"/>
      <c r="H11" s="14">
        <f t="shared" si="0"/>
        <v>0</v>
      </c>
      <c r="I11" s="9"/>
    </row>
    <row r="12" spans="1:9" ht="18">
      <c r="A12" s="5">
        <v>8</v>
      </c>
      <c r="B12" s="5" t="s">
        <v>90</v>
      </c>
      <c r="C12" s="7" t="s">
        <v>91</v>
      </c>
      <c r="D12" s="9"/>
      <c r="E12" s="9"/>
      <c r="F12" s="9"/>
      <c r="G12" s="9"/>
      <c r="H12" s="14">
        <f t="shared" si="0"/>
        <v>0</v>
      </c>
      <c r="I12" s="9"/>
    </row>
    <row r="13" spans="1:9" ht="18">
      <c r="A13" s="5">
        <v>9</v>
      </c>
      <c r="B13" s="5" t="s">
        <v>92</v>
      </c>
      <c r="C13" s="7" t="s">
        <v>93</v>
      </c>
      <c r="D13" s="9"/>
      <c r="E13" s="9"/>
      <c r="F13" s="9"/>
      <c r="G13" s="9"/>
      <c r="H13" s="14">
        <f t="shared" si="0"/>
        <v>0</v>
      </c>
      <c r="I13" s="9"/>
    </row>
    <row r="14" spans="1:9" ht="18">
      <c r="A14" s="5">
        <v>10</v>
      </c>
      <c r="B14" s="5" t="s">
        <v>94</v>
      </c>
      <c r="C14" s="7" t="s">
        <v>95</v>
      </c>
      <c r="D14" s="9"/>
      <c r="E14" s="9"/>
      <c r="F14" s="9"/>
      <c r="G14" s="9"/>
      <c r="H14" s="14">
        <f t="shared" si="0"/>
        <v>0</v>
      </c>
      <c r="I14" s="9"/>
    </row>
    <row r="15" spans="1:9" ht="18">
      <c r="A15" s="5">
        <v>11</v>
      </c>
      <c r="B15" s="5" t="s">
        <v>96</v>
      </c>
      <c r="C15" s="7" t="s">
        <v>97</v>
      </c>
      <c r="D15" s="9"/>
      <c r="E15" s="9"/>
      <c r="F15" s="9"/>
      <c r="G15" s="9"/>
      <c r="H15" s="14">
        <f t="shared" si="0"/>
        <v>0</v>
      </c>
      <c r="I15" s="9"/>
    </row>
    <row r="17" spans="1:3" ht="17">
      <c r="A17" s="15" t="s">
        <v>98</v>
      </c>
      <c r="B17" s="15"/>
      <c r="C17" s="11">
        <f>COUNTA(B5:B15)</f>
        <v>11</v>
      </c>
    </row>
    <row r="18" spans="1:3" ht="17">
      <c r="A18" s="16" t="s">
        <v>99</v>
      </c>
      <c r="B18" s="16"/>
      <c r="C18" s="11">
        <f>COUNTIF(H5:H15,4)</f>
        <v>0</v>
      </c>
    </row>
    <row r="19" spans="1:3" ht="17">
      <c r="A19" s="15" t="s">
        <v>100</v>
      </c>
      <c r="B19" s="15"/>
      <c r="C19" s="12">
        <f>IF(C17=0,0,COUNTIF(D5:G15,"済")/(C17*4))</f>
        <v>6.8181818181818177E-2</v>
      </c>
    </row>
    <row r="21" spans="1:3">
      <c r="A21" s="2" t="s">
        <v>101</v>
      </c>
    </row>
  </sheetData>
  <mergeCells count="3">
    <mergeCell ref="A17:B17"/>
    <mergeCell ref="A18:B18"/>
    <mergeCell ref="A19:B19"/>
  </mergeCells>
  <phoneticPr fontId="12"/>
  <conditionalFormatting sqref="D5:G15">
    <cfRule type="cellIs" dxfId="1" priority="2" operator="equal">
      <formula>"済"</formula>
    </cfRule>
  </conditionalFormatting>
  <conditionalFormatting sqref="H5:H15">
    <cfRule type="cellIs" dxfId="0" priority="3" operator="equal">
      <formula>4</formula>
    </cfRule>
  </conditionalFormatting>
  <dataValidations count="1">
    <dataValidation type="list" allowBlank="1" sqref="D5:G15" xr:uid="{00000000-0002-0000-0100-000000000000}">
      <formula1>"済"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対応表</vt:lpstr>
      <vt:lpstr>進め方チェック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嶺 清水</cp:lastModifiedBy>
  <cp:revision>0</cp:revision>
  <dcterms:created xsi:type="dcterms:W3CDTF">2026-10-21T12:21:03Z</dcterms:created>
  <dcterms:modified xsi:type="dcterms:W3CDTF">2026-10-26T14:10:42Z</dcterms:modified>
  <dc:language>en-US</dc:language>
</cp:coreProperties>
</file>