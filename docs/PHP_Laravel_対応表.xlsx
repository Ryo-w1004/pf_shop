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対応表" sheetId="1" state="visible" r:id="rId3"/>
    <sheet name="進め方チェック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<sst xmlns="http://schemas.openxmlformats.org/spreadsheetml/2006/main" count="141" uniqueCount="102">
  <si>
    <r>
      <rPr>
        <b val="true"/>
        <sz val="14"/>
        <rFont val="Noto Sans CJK SC"/>
        <family val="2"/>
      </rPr>
      <t xml:space="preserve">素の</t>
    </r>
    <r>
      <rPr>
        <b val="true"/>
        <sz val="14"/>
        <rFont val="Yu Gothic"/>
        <family val="0"/>
        <charset val="1"/>
      </rPr>
      <t xml:space="preserve">PHP → Laravel </t>
    </r>
    <r>
      <rPr>
        <b val="true"/>
        <sz val="14"/>
        <rFont val="Noto Sans CJK SC"/>
        <family val="2"/>
      </rPr>
      <t xml:space="preserve">対応表</t>
    </r>
  </si>
  <si>
    <r>
      <rPr>
        <i val="true"/>
        <sz val="9"/>
        <color rgb="FF595959"/>
        <rFont val="Noto Sans CJK SC"/>
        <family val="2"/>
      </rPr>
      <t xml:space="preserve">前回の写経</t>
    </r>
    <r>
      <rPr>
        <i val="true"/>
        <sz val="9"/>
        <color rgb="FF595959"/>
        <rFont val="Yu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素の</t>
    </r>
    <r>
      <rPr>
        <i val="true"/>
        <sz val="9"/>
        <color rgb="FF595959"/>
        <rFont val="Yu Gothic"/>
        <family val="0"/>
        <charset val="1"/>
      </rPr>
      <t xml:space="preserve">PHP)</t>
    </r>
    <r>
      <rPr>
        <i val="true"/>
        <sz val="9"/>
        <color rgb="FF595959"/>
        <rFont val="Noto Sans CJK SC"/>
        <family val="2"/>
      </rPr>
      <t xml:space="preserve">で書いたものが、</t>
    </r>
    <r>
      <rPr>
        <i val="true"/>
        <sz val="9"/>
        <color rgb="FF595959"/>
        <rFont val="Yu Gothic"/>
        <family val="0"/>
        <charset val="1"/>
      </rPr>
      <t xml:space="preserve">Laravel</t>
    </r>
    <r>
      <rPr>
        <i val="true"/>
        <sz val="9"/>
        <color rgb="FF595959"/>
        <rFont val="Noto Sans CJK SC"/>
        <family val="2"/>
      </rPr>
      <t xml:space="preserve">ではどこに・どう書くかの対応です。黄色のセル</t>
    </r>
    <r>
      <rPr>
        <i val="true"/>
        <sz val="9"/>
        <color rgb="FF595959"/>
        <rFont val="Yu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理解度・メモ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が編集用です。「調べる言葉」は </t>
    </r>
    <r>
      <rPr>
        <i val="true"/>
        <sz val="9"/>
        <color rgb="FF595959"/>
        <rFont val="Yu Gothic"/>
        <family val="0"/>
        <charset val="1"/>
      </rPr>
      <t xml:space="preserve">ReaDouble(Laravel</t>
    </r>
    <r>
      <rPr>
        <i val="true"/>
        <sz val="9"/>
        <color rgb="FF595959"/>
        <rFont val="Noto Sans CJK SC"/>
        <family val="2"/>
      </rPr>
      <t xml:space="preserve">公式ドキュメントの日本語訳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の目次で探す語です。</t>
    </r>
  </si>
  <si>
    <t xml:space="preserve">No</t>
  </si>
  <si>
    <t xml:space="preserve">分類</t>
  </si>
  <si>
    <r>
      <rPr>
        <b val="true"/>
        <sz val="10"/>
        <color rgb="FFFFFFFF"/>
        <rFont val="Noto Sans CJK SC"/>
        <family val="2"/>
      </rPr>
      <t xml:space="preserve">前回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素の</t>
    </r>
    <r>
      <rPr>
        <b val="true"/>
        <sz val="10"/>
        <color rgb="FFFFFFFF"/>
        <rFont val="Yu Gothic"/>
        <family val="0"/>
        <charset val="1"/>
      </rPr>
      <t xml:space="preserve">PHP)</t>
    </r>
  </si>
  <si>
    <r>
      <rPr>
        <b val="true"/>
        <sz val="10"/>
        <color rgb="FFFFFFFF"/>
        <rFont val="Yu Gothic"/>
        <family val="0"/>
        <charset val="1"/>
      </rPr>
      <t xml:space="preserve">Laravel</t>
    </r>
    <r>
      <rPr>
        <b val="true"/>
        <sz val="10"/>
        <color rgb="FFFFFFFF"/>
        <rFont val="Noto Sans CJK SC"/>
        <family val="2"/>
      </rPr>
      <t xml:space="preserve">での書き方</t>
    </r>
  </si>
  <si>
    <t xml:space="preserve">置き場所</t>
  </si>
  <si>
    <r>
      <rPr>
        <b val="true"/>
        <sz val="10"/>
        <color rgb="FFFFFFFF"/>
        <rFont val="Noto Sans CJK SC"/>
        <family val="2"/>
      </rPr>
      <t xml:space="preserve">調べる言葉</t>
    </r>
    <r>
      <rPr>
        <b val="true"/>
        <sz val="10"/>
        <color rgb="FFFFFFFF"/>
        <rFont val="Yu Gothic"/>
        <family val="0"/>
        <charset val="1"/>
      </rPr>
      <t xml:space="preserve">(ReaDouble)</t>
    </r>
  </si>
  <si>
    <r>
      <rPr>
        <b val="true"/>
        <sz val="10"/>
        <color rgb="FFFFFFFF"/>
        <rFont val="Noto Sans CJK SC"/>
        <family val="2"/>
      </rPr>
      <t xml:space="preserve">最初に使うレッスン</t>
    </r>
    <r>
      <rPr>
        <b val="true"/>
        <sz val="10"/>
        <color rgb="FFFFFFFF"/>
        <rFont val="Yu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目安</t>
    </r>
    <r>
      <rPr>
        <b val="true"/>
        <sz val="10"/>
        <color rgb="FFFFFFFF"/>
        <rFont val="Yu Gothic"/>
        <family val="0"/>
        <charset val="1"/>
      </rPr>
      <t xml:space="preserve">)</t>
    </r>
  </si>
  <si>
    <t xml:space="preserve">理解度</t>
  </si>
  <si>
    <t xml:space="preserve">メモ</t>
  </si>
  <si>
    <t xml:space="preserve">DB</t>
  </si>
  <si>
    <r>
      <rPr>
        <sz val="10"/>
        <rFont val="Menlo"/>
        <family val="0"/>
        <charset val="1"/>
      </rPr>
      <t xml:space="preserve">phpMyAdmin </t>
    </r>
    <r>
      <rPr>
        <sz val="10"/>
        <rFont val="Noto Sans CJK SC"/>
        <family val="2"/>
      </rPr>
      <t xml:space="preserve">や </t>
    </r>
    <r>
      <rPr>
        <sz val="10"/>
        <rFont val="Menlo"/>
        <family val="0"/>
        <charset val="1"/>
      </rPr>
      <t xml:space="preserve">SQL </t>
    </r>
    <r>
      <rPr>
        <sz val="10"/>
        <rFont val="Noto Sans CJK SC"/>
        <family val="2"/>
      </rPr>
      <t xml:space="preserve">の </t>
    </r>
    <r>
      <rPr>
        <sz val="10"/>
        <rFont val="Menlo"/>
        <family val="0"/>
        <charset val="1"/>
      </rPr>
      <t xml:space="preserve">CREATE TABLE</t>
    </r>
  </si>
  <si>
    <t xml:space="preserve">マイグレーション</t>
  </si>
  <si>
    <t xml:space="preserve">database/migrations/</t>
  </si>
  <si>
    <t xml:space="preserve">Lesson 06</t>
  </si>
  <si>
    <t xml:space="preserve">未</t>
  </si>
  <si>
    <t xml:space="preserve">画面の構成</t>
  </si>
  <si>
    <r>
      <rPr>
        <sz val="10"/>
        <rFont val="Menlo"/>
        <family val="0"/>
        <charset val="1"/>
      </rPr>
      <t xml:space="preserve">1</t>
    </r>
    <r>
      <rPr>
        <sz val="10"/>
        <rFont val="Noto Sans CJK SC"/>
        <family val="2"/>
      </rPr>
      <t xml:space="preserve">ページ</t>
    </r>
    <r>
      <rPr>
        <sz val="10"/>
        <rFont val="Menlo"/>
        <family val="0"/>
        <charset val="1"/>
      </rPr>
      <t xml:space="preserve">1</t>
    </r>
    <r>
      <rPr>
        <sz val="10"/>
        <rFont val="Noto Sans CJK SC"/>
        <family val="2"/>
      </rPr>
      <t xml:space="preserve">ファイル</t>
    </r>
    <r>
      <rPr>
        <sz val="10"/>
        <rFont val="Menlo"/>
        <family val="0"/>
        <charset val="1"/>
      </rPr>
      <t xml:space="preserve">(signup.php </t>
    </r>
    <r>
      <rPr>
        <sz val="10"/>
        <rFont val="Noto Sans CJK SC"/>
        <family val="2"/>
      </rPr>
      <t xml:space="preserve">など</t>
    </r>
    <r>
      <rPr>
        <sz val="10"/>
        <rFont val="Menlo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</si>
  <si>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ルート </t>
    </r>
    <r>
      <rPr>
        <sz val="10"/>
        <rFont val="Menlo"/>
        <family val="0"/>
        <charset val="1"/>
      </rPr>
      <t xml:space="preserve">+ </t>
    </r>
    <r>
      <rPr>
        <sz val="10"/>
        <rFont val="Noto Sans CJK SC"/>
        <family val="2"/>
      </rPr>
      <t xml:space="preserve">コントローラー</t>
    </r>
  </si>
  <si>
    <r>
      <rPr>
        <sz val="10"/>
        <rFont val="Yu Gothic"/>
        <family val="0"/>
        <charset val="1"/>
      </rPr>
      <t xml:space="preserve">routes/web.php</t>
    </r>
    <r>
      <rPr>
        <sz val="10"/>
        <rFont val="Noto Sans CJK SC"/>
        <family val="2"/>
      </rPr>
      <t xml:space="preserve">、</t>
    </r>
    <r>
      <rPr>
        <sz val="10"/>
        <rFont val="Yu Gothic"/>
        <family val="0"/>
        <charset val="1"/>
      </rPr>
      <t xml:space="preserve">app/Http/Controllers/</t>
    </r>
  </si>
  <si>
    <t xml:space="preserve">ルーティング、コントローラ</t>
  </si>
  <si>
    <r>
      <rPr>
        <sz val="10"/>
        <rFont val="Yu Gothic"/>
        <family val="0"/>
        <charset val="1"/>
      </rPr>
      <t xml:space="preserve">Lesson 07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08</t>
    </r>
  </si>
  <si>
    <r>
      <rPr>
        <sz val="10"/>
        <rFont val="Menlo"/>
        <family val="0"/>
        <charset val="1"/>
      </rPr>
      <t xml:space="preserve">HTML</t>
    </r>
    <r>
      <rPr>
        <sz val="10"/>
        <rFont val="Noto Sans CJK SC"/>
        <family val="2"/>
      </rPr>
      <t xml:space="preserve">と</t>
    </r>
    <r>
      <rPr>
        <sz val="10"/>
        <rFont val="Menlo"/>
        <family val="0"/>
        <charset val="1"/>
      </rPr>
      <t xml:space="preserve">PHP</t>
    </r>
    <r>
      <rPr>
        <sz val="10"/>
        <rFont val="Noto Sans CJK SC"/>
        <family val="2"/>
      </rPr>
      <t xml:space="preserve">が同じファイル</t>
    </r>
  </si>
  <si>
    <r>
      <rPr>
        <sz val="10"/>
        <rFont val="Noto Sans CJK SC"/>
        <family val="2"/>
      </rPr>
      <t xml:space="preserve">処理はコントローラー、</t>
    </r>
    <r>
      <rPr>
        <sz val="10"/>
        <rFont val="Menlo"/>
        <family val="0"/>
        <charset val="1"/>
      </rPr>
      <t xml:space="preserve">HTML</t>
    </r>
    <r>
      <rPr>
        <sz val="10"/>
        <rFont val="Noto Sans CJK SC"/>
        <family val="2"/>
      </rPr>
      <t xml:space="preserve">はビュー</t>
    </r>
  </si>
  <si>
    <t xml:space="preserve">resources/views/(Blade)</t>
  </si>
  <si>
    <r>
      <rPr>
        <sz val="10"/>
        <rFont val="Noto Sans CJK SC"/>
        <family val="2"/>
      </rPr>
      <t xml:space="preserve">ビュー、</t>
    </r>
    <r>
      <rPr>
        <sz val="10"/>
        <rFont val="Yu Gothic"/>
        <family val="0"/>
        <charset val="1"/>
      </rPr>
      <t xml:space="preserve">Blade</t>
    </r>
    <r>
      <rPr>
        <sz val="10"/>
        <rFont val="Noto Sans CJK SC"/>
        <family val="2"/>
      </rPr>
      <t xml:space="preserve">テンプレート</t>
    </r>
  </si>
  <si>
    <r>
      <rPr>
        <sz val="10"/>
        <rFont val="Menlo"/>
        <family val="0"/>
        <charset val="1"/>
      </rPr>
      <t xml:space="preserve">require / include </t>
    </r>
    <r>
      <rPr>
        <sz val="10"/>
        <rFont val="Noto Sans CJK SC"/>
        <family val="2"/>
      </rPr>
      <t xml:space="preserve">で共通のヘッダー・フッターを読み込む</t>
    </r>
  </si>
  <si>
    <r>
      <rPr>
        <sz val="10"/>
        <rFont val="Menlo"/>
        <family val="0"/>
        <charset val="1"/>
      </rPr>
      <t xml:space="preserve">Blade </t>
    </r>
    <r>
      <rPr>
        <sz val="10"/>
        <rFont val="Noto Sans CJK SC"/>
        <family val="2"/>
      </rPr>
      <t xml:space="preserve">のレイアウト</t>
    </r>
    <r>
      <rPr>
        <sz val="10"/>
        <rFont val="Menlo"/>
        <family val="0"/>
        <charset val="1"/>
      </rPr>
      <t xml:space="preserve">(@extends</t>
    </r>
    <r>
      <rPr>
        <sz val="10"/>
        <rFont val="Noto Sans CJK SC"/>
        <family val="2"/>
      </rPr>
      <t xml:space="preserve">、</t>
    </r>
    <r>
      <rPr>
        <sz val="10"/>
        <rFont val="Menlo"/>
        <family val="0"/>
        <charset val="1"/>
      </rPr>
      <t xml:space="preserve">@yield</t>
    </r>
    <r>
      <rPr>
        <sz val="10"/>
        <rFont val="Noto Sans CJK SC"/>
        <family val="2"/>
      </rPr>
      <t xml:space="preserve">、または コンポーネント</t>
    </r>
    <r>
      <rPr>
        <sz val="10"/>
        <rFont val="Menlo"/>
        <family val="0"/>
        <charset val="1"/>
      </rPr>
      <t xml:space="preserve">)</t>
    </r>
  </si>
  <si>
    <t xml:space="preserve">resources/views/layouts/</t>
  </si>
  <si>
    <r>
      <rPr>
        <sz val="10"/>
        <rFont val="Yu Gothic"/>
        <family val="0"/>
        <charset val="1"/>
      </rPr>
      <t xml:space="preserve">Blade</t>
    </r>
    <r>
      <rPr>
        <sz val="10"/>
        <rFont val="Noto Sans CJK SC"/>
        <family val="2"/>
      </rPr>
      <t xml:space="preserve">テンプレート</t>
    </r>
  </si>
  <si>
    <r>
      <rPr>
        <sz val="10"/>
        <rFont val="Menlo"/>
        <family val="0"/>
        <charset val="1"/>
      </rPr>
      <t xml:space="preserve">htmlspecialchars() </t>
    </r>
    <r>
      <rPr>
        <sz val="10"/>
        <rFont val="Noto Sans CJK SC"/>
        <family val="2"/>
      </rPr>
      <t xml:space="preserve">で出力をエスケープ</t>
    </r>
  </si>
  <si>
    <r>
      <rPr>
        <sz val="10"/>
        <rFont val="Menlo"/>
        <family val="0"/>
        <charset val="1"/>
      </rPr>
      <t xml:space="preserve">{{ $</t>
    </r>
    <r>
      <rPr>
        <sz val="10"/>
        <rFont val="Noto Sans CJK SC"/>
        <family val="2"/>
      </rPr>
      <t xml:space="preserve">変数 </t>
    </r>
    <r>
      <rPr>
        <sz val="10"/>
        <rFont val="Menlo"/>
        <family val="0"/>
        <charset val="1"/>
      </rPr>
      <t xml:space="preserve">}}(</t>
    </r>
    <r>
      <rPr>
        <sz val="10"/>
        <rFont val="Noto Sans CJK SC"/>
        <family val="2"/>
      </rPr>
      <t xml:space="preserve">自動でエスケープされる</t>
    </r>
    <r>
      <rPr>
        <sz val="10"/>
        <rFont val="Menlo"/>
        <family val="0"/>
        <charset val="1"/>
      </rPr>
      <t xml:space="preserve">)</t>
    </r>
  </si>
  <si>
    <t xml:space="preserve">resources/views/</t>
  </si>
  <si>
    <t xml:space="preserve">入力</t>
  </si>
  <si>
    <t xml:space="preserve">$_POST['email']</t>
  </si>
  <si>
    <t xml:space="preserve">$request-&gt;input('email')</t>
  </si>
  <si>
    <t xml:space="preserve">コントローラー</t>
  </si>
  <si>
    <t xml:space="preserve">リクエスト</t>
  </si>
  <si>
    <r>
      <rPr>
        <sz val="10"/>
        <rFont val="Yu Gothic"/>
        <family val="0"/>
        <charset val="1"/>
      </rPr>
      <t xml:space="preserve">Lesson 09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11</t>
    </r>
  </si>
  <si>
    <t xml:space="preserve">自作の入力チェック関数</t>
  </si>
  <si>
    <t xml:space="preserve">$request-&gt;validate([...])</t>
  </si>
  <si>
    <t xml:space="preserve">バリデーション</t>
  </si>
  <si>
    <t xml:space="preserve">エラーメッセージを配列に入れて画面に表示</t>
  </si>
  <si>
    <r>
      <rPr>
        <sz val="10"/>
        <rFont val="Menlo"/>
        <family val="0"/>
        <charset val="1"/>
      </rPr>
      <t xml:space="preserve">$errors</t>
    </r>
    <r>
      <rPr>
        <sz val="10"/>
        <rFont val="Noto Sans CJK SC"/>
        <family val="2"/>
      </rPr>
      <t xml:space="preserve">、</t>
    </r>
    <r>
      <rPr>
        <sz val="10"/>
        <rFont val="Menlo"/>
        <family val="0"/>
        <charset val="1"/>
      </rPr>
      <t xml:space="preserve">@error(</t>
    </r>
    <r>
      <rPr>
        <sz val="10"/>
        <rFont val="Noto Sans CJK SC"/>
        <family val="2"/>
      </rPr>
      <t xml:space="preserve">バリデーション失敗時に自動で渡される</t>
    </r>
    <r>
      <rPr>
        <sz val="10"/>
        <rFont val="Menlo"/>
        <family val="0"/>
        <charset val="1"/>
      </rPr>
      <t xml:space="preserve">)</t>
    </r>
  </si>
  <si>
    <r>
      <rPr>
        <sz val="10"/>
        <rFont val="Menlo"/>
        <family val="0"/>
        <charset val="1"/>
      </rPr>
      <t xml:space="preserve">PDO </t>
    </r>
    <r>
      <rPr>
        <sz val="10"/>
        <rFont val="Noto Sans CJK SC"/>
        <family val="2"/>
      </rPr>
      <t xml:space="preserve">で </t>
    </r>
    <r>
      <rPr>
        <sz val="10"/>
        <rFont val="Menlo"/>
        <family val="0"/>
        <charset val="1"/>
      </rPr>
      <t xml:space="preserve">SQL </t>
    </r>
    <r>
      <rPr>
        <sz val="10"/>
        <rFont val="Noto Sans CJK SC"/>
        <family val="2"/>
      </rPr>
      <t xml:space="preserve">を組み立てて実行</t>
    </r>
  </si>
  <si>
    <r>
      <rPr>
        <sz val="10"/>
        <rFont val="Menlo"/>
        <family val="0"/>
        <charset val="1"/>
      </rPr>
      <t xml:space="preserve">Eloquent(Product::create(...) </t>
    </r>
    <r>
      <rPr>
        <sz val="10"/>
        <rFont val="Noto Sans CJK SC"/>
        <family val="2"/>
      </rPr>
      <t xml:space="preserve">など</t>
    </r>
    <r>
      <rPr>
        <sz val="10"/>
        <rFont val="Menlo"/>
        <family val="0"/>
        <charset val="1"/>
      </rPr>
      <t xml:space="preserve">)</t>
    </r>
  </si>
  <si>
    <t xml:space="preserve">app/Models/</t>
  </si>
  <si>
    <r>
      <rPr>
        <sz val="10"/>
        <rFont val="Yu Gothic"/>
        <family val="0"/>
        <charset val="1"/>
      </rPr>
      <t xml:space="preserve">Eloquent:</t>
    </r>
    <r>
      <rPr>
        <sz val="10"/>
        <rFont val="Noto Sans CJK SC"/>
        <family val="2"/>
      </rPr>
      <t xml:space="preserve">利用の開始</t>
    </r>
  </si>
  <si>
    <t xml:space="preserve">ログイン</t>
  </si>
  <si>
    <r>
      <rPr>
        <sz val="10"/>
        <rFont val="Menlo"/>
        <family val="0"/>
        <charset val="1"/>
      </rPr>
      <t xml:space="preserve">$_SESSION </t>
    </r>
    <r>
      <rPr>
        <sz val="10"/>
        <rFont val="Noto Sans CJK SC"/>
        <family val="2"/>
      </rPr>
      <t xml:space="preserve">でログイン管理</t>
    </r>
  </si>
  <si>
    <r>
      <rPr>
        <sz val="10"/>
        <rFont val="Menlo"/>
        <family val="0"/>
        <charset val="1"/>
      </rPr>
      <t xml:space="preserve">Auth(</t>
    </r>
    <r>
      <rPr>
        <sz val="10"/>
        <rFont val="Noto Sans CJK SC"/>
        <family val="2"/>
      </rPr>
      <t xml:space="preserve">認証の仕組み</t>
    </r>
    <r>
      <rPr>
        <sz val="10"/>
        <rFont val="Menlo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</si>
  <si>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Laravel </t>
    </r>
    <r>
      <rPr>
        <sz val="10"/>
        <rFont val="Noto Sans CJK SC"/>
        <family val="2"/>
      </rPr>
      <t xml:space="preserve">標準</t>
    </r>
  </si>
  <si>
    <t xml:space="preserve">認証</t>
  </si>
  <si>
    <t xml:space="preserve">password_hash()</t>
  </si>
  <si>
    <t xml:space="preserve">Hash::make()</t>
  </si>
  <si>
    <t xml:space="preserve">ハッシュ</t>
  </si>
  <si>
    <t xml:space="preserve">画面の移動</t>
  </si>
  <si>
    <t xml:space="preserve">header('Location: ...')</t>
  </si>
  <si>
    <t xml:space="preserve">redirect(...)</t>
  </si>
  <si>
    <r>
      <rPr>
        <sz val="10"/>
        <rFont val="Yu Gothic"/>
        <family val="0"/>
        <charset val="1"/>
      </rPr>
      <t xml:space="preserve">HTTP</t>
    </r>
    <r>
      <rPr>
        <sz val="10"/>
        <rFont val="Noto Sans CJK SC"/>
        <family val="2"/>
      </rPr>
      <t xml:space="preserve">リダイレクト</t>
    </r>
  </si>
  <si>
    <t xml:space="preserve">集計</t>
  </si>
  <si>
    <t xml:space="preserve">項目数</t>
  </si>
  <si>
    <t xml:space="preserve">説明できる</t>
  </si>
  <si>
    <t xml:space="preserve">曖昧</t>
  </si>
  <si>
    <r>
      <rPr>
        <b val="true"/>
        <sz val="10"/>
        <rFont val="Noto Sans CJK SC"/>
        <family val="2"/>
      </rPr>
      <t xml:space="preserve">理解度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説明できる </t>
    </r>
    <r>
      <rPr>
        <b val="true"/>
        <sz val="10"/>
        <rFont val="Yu Gothic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項目数</t>
    </r>
    <r>
      <rPr>
        <b val="true"/>
        <sz val="10"/>
        <rFont val="Yu Gothic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</si>
  <si>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理解度の目安</t>
    </r>
    <r>
      <rPr>
        <i val="true"/>
        <sz val="9"/>
        <color rgb="FF595959"/>
        <rFont val="Yu Gothic"/>
        <family val="0"/>
        <charset val="1"/>
      </rPr>
      <t xml:space="preserve">:</t>
    </r>
    <r>
      <rPr>
        <i val="true"/>
        <sz val="9"/>
        <color rgb="FF595959"/>
        <rFont val="Noto Sans CJK SC"/>
        <family val="2"/>
      </rPr>
      <t xml:space="preserve">「説明できる」</t>
    </r>
    <r>
      <rPr>
        <i val="true"/>
        <sz val="9"/>
        <color rgb="FF595959"/>
        <rFont val="Yu Gothic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その行の</t>
    </r>
    <r>
      <rPr>
        <i val="true"/>
        <sz val="9"/>
        <color rgb="FF595959"/>
        <rFont val="Yu Gothic"/>
        <family val="0"/>
        <charset val="1"/>
      </rPr>
      <t xml:space="preserve">Laravel</t>
    </r>
    <r>
      <rPr>
        <i val="true"/>
        <sz val="9"/>
        <color rgb="FF595959"/>
        <rFont val="Noto Sans CJK SC"/>
        <family val="2"/>
      </rPr>
      <t xml:space="preserve">側を、何も見ずに書けて、なぜそこに置くかを言える状態。</t>
    </r>
  </si>
  <si>
    <r>
      <rPr>
        <i val="true"/>
        <sz val="9"/>
        <color rgb="FF595959"/>
        <rFont val="Noto Sans CJK SC"/>
        <family val="2"/>
      </rPr>
      <t xml:space="preserve">行を足すときは、表の最終行のすぐ下に追記し、集計の範囲</t>
    </r>
    <r>
      <rPr>
        <i val="true"/>
        <sz val="9"/>
        <color rgb="FF595959"/>
        <rFont val="Yu Gothic"/>
        <family val="0"/>
        <charset val="1"/>
      </rPr>
      <t xml:space="preserve">(C</t>
    </r>
    <r>
      <rPr>
        <i val="true"/>
        <sz val="9"/>
        <color rgb="FF595959"/>
        <rFont val="Noto Sans CJK SC"/>
        <family val="2"/>
      </rPr>
      <t xml:space="preserve">列の数式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も広げてください。</t>
    </r>
  </si>
  <si>
    <r>
      <rPr>
        <b val="true"/>
        <sz val="14"/>
        <rFont val="Yu Gothic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つの機能の進め方</t>
    </r>
    <r>
      <rPr>
        <b val="true"/>
        <sz val="14"/>
        <rFont val="Yu Gothic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レッスンごとのチェック</t>
    </r>
    <r>
      <rPr>
        <b val="true"/>
        <sz val="14"/>
        <rFont val="Yu Gothic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</si>
  <si>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各ステップが終わったら「済」を選びます。①前回の写経コードを開き、その機能がしていることを自分の言葉で箇条書きにする ②対応表を見て、</t>
    </r>
    <r>
      <rPr>
        <i val="true"/>
        <sz val="9"/>
        <color rgb="FF595959"/>
        <rFont val="Yu Gothic"/>
        <family val="0"/>
        <charset val="1"/>
      </rPr>
      <t xml:space="preserve">Laravel</t>
    </r>
    <r>
      <rPr>
        <i val="true"/>
        <sz val="9"/>
        <color rgb="FF595959"/>
        <rFont val="Noto Sans CJK SC"/>
        <family val="2"/>
      </rPr>
      <t xml:space="preserve">のどこに当たるか決める ③公式ドキュメントとヒントで</t>
    </r>
    <r>
      <rPr>
        <i val="true"/>
        <sz val="9"/>
        <color rgb="FF595959"/>
        <rFont val="Yu Gothic"/>
        <family val="0"/>
        <charset val="1"/>
      </rPr>
      <t xml:space="preserve">Laravel</t>
    </r>
    <r>
      <rPr>
        <i val="true"/>
        <sz val="9"/>
        <color rgb="FF595959"/>
        <rFont val="Noto Sans CJK SC"/>
        <family val="2"/>
      </rPr>
      <t xml:space="preserve">版を書く ④動いたら前回のコードと見比べる</t>
    </r>
  </si>
  <si>
    <t xml:space="preserve">教材レッスン</t>
  </si>
  <si>
    <t xml:space="preserve">内容</t>
  </si>
  <si>
    <t xml:space="preserve">①何をしているか箇条書き</t>
  </si>
  <si>
    <t xml:space="preserve">②置き場所を決める</t>
  </si>
  <si>
    <r>
      <rPr>
        <b val="true"/>
        <sz val="10"/>
        <color rgb="FFFFFFFF"/>
        <rFont val="Yu Gothic"/>
        <family val="0"/>
        <charset val="1"/>
      </rPr>
      <t xml:space="preserve">③Laravel</t>
    </r>
    <r>
      <rPr>
        <b val="true"/>
        <sz val="10"/>
        <color rgb="FFFFFFFF"/>
        <rFont val="Noto Sans CJK SC"/>
        <family val="2"/>
      </rPr>
      <t xml:space="preserve">版を書く</t>
    </r>
  </si>
  <si>
    <t xml:space="preserve">④前回と見比べる</t>
  </si>
  <si>
    <t xml:space="preserve">済のステップ数</t>
  </si>
  <si>
    <t xml:space="preserve">詰まった点・メモ</t>
  </si>
  <si>
    <r>
      <rPr>
        <sz val="10"/>
        <rFont val="Yu Gothic"/>
        <family val="0"/>
        <charset val="1"/>
      </rPr>
      <t xml:space="preserve">DB</t>
    </r>
    <r>
      <rPr>
        <sz val="10"/>
        <rFont val="Noto Sans CJK SC"/>
        <family val="2"/>
      </rPr>
      <t xml:space="preserve">作成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テーブル → マイグレーション</t>
    </r>
    <r>
      <rPr>
        <sz val="10"/>
        <rFont val="Yu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</si>
  <si>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画面の見た目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共通レイアウト、主要画面</t>
    </r>
    <r>
      <rPr>
        <sz val="10"/>
        <rFont val="Yu Gothic"/>
        <family val="0"/>
        <charset val="1"/>
      </rPr>
      <t xml:space="preserve">)</t>
    </r>
  </si>
  <si>
    <t xml:space="preserve">会員登録・ログイン</t>
  </si>
  <si>
    <r>
      <rPr>
        <sz val="10"/>
        <rFont val="Yu Gothic"/>
        <family val="0"/>
        <charset val="1"/>
      </rPr>
      <t xml:space="preserve">Laravel</t>
    </r>
    <r>
      <rPr>
        <sz val="10"/>
        <rFont val="Noto Sans CJK SC"/>
        <family val="2"/>
      </rPr>
      <t xml:space="preserve">の自動生成</t>
    </r>
    <r>
      <rPr>
        <sz val="10"/>
        <rFont val="Yu Gothic"/>
        <family val="0"/>
        <charset val="1"/>
      </rPr>
      <t xml:space="preserve">(Breeze </t>
    </r>
    <r>
      <rPr>
        <sz val="10"/>
        <rFont val="Noto Sans CJK SC"/>
        <family val="2"/>
      </rPr>
      <t xml:space="preserve">など</t>
    </r>
    <r>
      <rPr>
        <sz val="10"/>
        <rFont val="Yu Gothic"/>
        <family val="0"/>
        <charset val="1"/>
      </rPr>
      <t xml:space="preserve">)</t>
    </r>
    <r>
      <rPr>
        <sz val="10"/>
        <rFont val="Noto Sans CJK SC"/>
        <family val="2"/>
      </rPr>
      <t xml:space="preserve">を使うか、自分で書くかを、この回に入るときに決める</t>
    </r>
  </si>
  <si>
    <r>
      <rPr>
        <sz val="10"/>
        <rFont val="Yu Gothic"/>
        <family val="0"/>
        <charset val="1"/>
      </rPr>
      <t xml:space="preserve">Lesson 12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14</t>
    </r>
  </si>
  <si>
    <r>
      <rPr>
        <sz val="10"/>
        <rFont val="Noto Sans CJK SC"/>
        <family val="2"/>
      </rPr>
      <t xml:space="preserve">内容は要確認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ログアウト・プロフィール・退会など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</si>
  <si>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Lesson 15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16</t>
    </r>
  </si>
  <si>
    <t xml:space="preserve">パスワード変更・パスワードリマインダー</t>
  </si>
  <si>
    <r>
      <rPr>
        <sz val="10"/>
        <rFont val="Yu Gothic"/>
        <family val="0"/>
        <charset val="1"/>
      </rPr>
      <t xml:space="preserve">Lesson 17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19</t>
    </r>
  </si>
  <si>
    <r>
      <rPr>
        <sz val="10"/>
        <rFont val="Noto Sans CJK SC"/>
        <family val="2"/>
      </rPr>
      <t xml:space="preserve">商品登録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編集・削除を含む</t>
    </r>
    <r>
      <rPr>
        <sz val="10"/>
        <rFont val="Yu Gothic"/>
        <family val="0"/>
        <charset val="1"/>
      </rPr>
      <t xml:space="preserve">)</t>
    </r>
  </si>
  <si>
    <r>
      <rPr>
        <sz val="10"/>
        <rFont val="Yu Gothic"/>
        <family val="0"/>
        <charset val="1"/>
      </rPr>
      <t xml:space="preserve">Lesson 20</t>
    </r>
    <r>
      <rPr>
        <sz val="10"/>
        <rFont val="Noto Sans CJK SC"/>
        <family val="2"/>
      </rPr>
      <t xml:space="preserve">〜</t>
    </r>
    <r>
      <rPr>
        <sz val="10"/>
        <rFont val="Yu Gothic"/>
        <family val="0"/>
        <charset val="1"/>
      </rPr>
      <t xml:space="preserve">21</t>
    </r>
  </si>
  <si>
    <t xml:space="preserve">商品一覧・商品詳細</t>
  </si>
  <si>
    <t xml:space="preserve">Lesson 22</t>
  </si>
  <si>
    <t xml:space="preserve">商品検索</t>
  </si>
  <si>
    <t xml:space="preserve">Lesson 23</t>
  </si>
  <si>
    <t xml:space="preserve">連絡掲示板</t>
  </si>
  <si>
    <t xml:space="preserve">Lesson 24</t>
  </si>
  <si>
    <t xml:space="preserve">お気に入り</t>
  </si>
  <si>
    <t xml:space="preserve">Lesson 25</t>
  </si>
  <si>
    <t xml:space="preserve">マイページ</t>
  </si>
  <si>
    <t xml:space="preserve">レッスン数</t>
  </si>
  <si>
    <r>
      <rPr>
        <b val="true"/>
        <sz val="10"/>
        <rFont val="Yu Gothic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ステップとも済のレッスン</t>
    </r>
  </si>
  <si>
    <r>
      <rPr>
        <b val="true"/>
        <sz val="10"/>
        <rFont val="Noto Sans CJK SC"/>
        <family val="2"/>
      </rPr>
      <t xml:space="preserve">全体の進捗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済のステップ </t>
    </r>
    <r>
      <rPr>
        <b val="true"/>
        <sz val="10"/>
        <rFont val="Yu Gothic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全ステップ</t>
    </r>
    <r>
      <rPr>
        <b val="true"/>
        <sz val="10"/>
        <rFont val="Yu Gothic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</si>
  <si>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カート・注文確定・注文履歴は教材にない機能のため、この表には入れていません</t>
    </r>
    <r>
      <rPr>
        <i val="true"/>
        <sz val="9"/>
        <color rgb="FF595959"/>
        <rFont val="Yu Gothic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前回のコードがないので、ヒントだけで自力で作ります</t>
    </r>
    <r>
      <rPr>
        <i val="true"/>
        <sz val="9"/>
        <color rgb="FF595959"/>
        <rFont val="Yu Gothic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</si>
</sst>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Yu Gothic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Yu Gothic"/>
      <family val="0"/>
      <charset val="1"/>
    </font>
    <font>
      <b val="true"/>
      <sz val="10"/>
      <color rgb="FFFFFFFF"/>
      <name val="Yu Gothic"/>
      <family val="0"/>
      <charset val="1"/>
    </font>
    <font>
      <b val="true"/>
      <sz val="10"/>
      <color rgb="FFFFFFFF"/>
      <name val="Noto Sans CJK SC"/>
      <family val="2"/>
    </font>
    <font>
      <sz val="10"/>
      <name val="Yu Gothic"/>
      <family val="0"/>
      <charset val="1"/>
    </font>
    <font>
      <sz val="10"/>
      <name val="Menlo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n">
        <v>1</v>
      </c>
      <c r="B5" s="5" t="s">
        <v>11</v>
      </c>
      <c r="C5" s="6" t="s">
        <v>12</v>
      </c>
      <c r="D5" s="7" t="s">
        <v>13</v>
      </c>
      <c r="E5" s="5" t="s">
        <v>14</v>
      </c>
      <c r="F5" s="7" t="s">
        <v>13</v>
      </c>
      <c r="G5" s="5" t="s">
        <v>15</v>
      </c>
      <c r="H5" s="8" t="s">
        <v>16</v>
      </c>
      <c r="I5" s="9"/>
    </row>
    <row r="6" customFormat="false" ht="29.85" hidden="false" customHeight="false" outlineLevel="0" collapsed="false">
      <c r="A6" s="5" t="n">
        <v>2</v>
      </c>
      <c r="B6" s="7" t="s">
        <v>17</v>
      </c>
      <c r="C6" s="6" t="s">
        <v>18</v>
      </c>
      <c r="D6" s="7" t="s">
        <v>19</v>
      </c>
      <c r="E6" s="5" t="s">
        <v>20</v>
      </c>
      <c r="F6" s="7" t="s">
        <v>21</v>
      </c>
      <c r="G6" s="5" t="s">
        <v>22</v>
      </c>
      <c r="H6" s="8" t="s">
        <v>16</v>
      </c>
      <c r="I6" s="9"/>
    </row>
    <row r="7" customFormat="false" ht="29.85" hidden="false" customHeight="false" outlineLevel="0" collapsed="false">
      <c r="A7" s="5" t="n">
        <v>3</v>
      </c>
      <c r="B7" s="7" t="s">
        <v>17</v>
      </c>
      <c r="C7" s="6" t="s">
        <v>23</v>
      </c>
      <c r="D7" s="7" t="s">
        <v>24</v>
      </c>
      <c r="E7" s="5" t="s">
        <v>25</v>
      </c>
      <c r="F7" s="7" t="s">
        <v>26</v>
      </c>
      <c r="G7" s="5" t="s">
        <v>22</v>
      </c>
      <c r="H7" s="8" t="s">
        <v>16</v>
      </c>
      <c r="I7" s="9"/>
    </row>
    <row r="8" customFormat="false" ht="29.85" hidden="false" customHeight="false" outlineLevel="0" collapsed="false">
      <c r="A8" s="5" t="n">
        <v>4</v>
      </c>
      <c r="B8" s="7" t="s">
        <v>17</v>
      </c>
      <c r="C8" s="6" t="s">
        <v>27</v>
      </c>
      <c r="D8" s="6" t="s">
        <v>28</v>
      </c>
      <c r="E8" s="5" t="s">
        <v>29</v>
      </c>
      <c r="F8" s="5" t="s">
        <v>30</v>
      </c>
      <c r="G8" s="5" t="s">
        <v>22</v>
      </c>
      <c r="H8" s="8" t="s">
        <v>16</v>
      </c>
      <c r="I8" s="9"/>
    </row>
    <row r="9" customFormat="false" ht="15" hidden="false" customHeight="false" outlineLevel="0" collapsed="false">
      <c r="A9" s="5" t="n">
        <v>5</v>
      </c>
      <c r="B9" s="7" t="s">
        <v>17</v>
      </c>
      <c r="C9" s="6" t="s">
        <v>31</v>
      </c>
      <c r="D9" s="6" t="s">
        <v>32</v>
      </c>
      <c r="E9" s="5" t="s">
        <v>33</v>
      </c>
      <c r="F9" s="5" t="s">
        <v>30</v>
      </c>
      <c r="G9" s="5" t="s">
        <v>22</v>
      </c>
      <c r="H9" s="8" t="s">
        <v>16</v>
      </c>
      <c r="I9" s="9"/>
    </row>
    <row r="10" customFormat="false" ht="15" hidden="false" customHeight="false" outlineLevel="0" collapsed="false">
      <c r="A10" s="5" t="n">
        <v>6</v>
      </c>
      <c r="B10" s="7" t="s">
        <v>34</v>
      </c>
      <c r="C10" s="6" t="s">
        <v>35</v>
      </c>
      <c r="D10" s="6" t="s">
        <v>36</v>
      </c>
      <c r="E10" s="7" t="s">
        <v>37</v>
      </c>
      <c r="F10" s="7" t="s">
        <v>38</v>
      </c>
      <c r="G10" s="5" t="s">
        <v>39</v>
      </c>
      <c r="H10" s="8" t="s">
        <v>16</v>
      </c>
      <c r="I10" s="9"/>
    </row>
    <row r="11" customFormat="false" ht="15" hidden="false" customHeight="false" outlineLevel="0" collapsed="false">
      <c r="A11" s="5" t="n">
        <v>7</v>
      </c>
      <c r="B11" s="7" t="s">
        <v>34</v>
      </c>
      <c r="C11" s="7" t="s">
        <v>40</v>
      </c>
      <c r="D11" s="6" t="s">
        <v>41</v>
      </c>
      <c r="E11" s="7" t="s">
        <v>37</v>
      </c>
      <c r="F11" s="7" t="s">
        <v>42</v>
      </c>
      <c r="G11" s="5" t="s">
        <v>39</v>
      </c>
      <c r="H11" s="8" t="s">
        <v>16</v>
      </c>
      <c r="I11" s="9"/>
    </row>
    <row r="12" customFormat="false" ht="29.85" hidden="false" customHeight="false" outlineLevel="0" collapsed="false">
      <c r="A12" s="5" t="n">
        <v>8</v>
      </c>
      <c r="B12" s="7" t="s">
        <v>34</v>
      </c>
      <c r="C12" s="7" t="s">
        <v>43</v>
      </c>
      <c r="D12" s="6" t="s">
        <v>44</v>
      </c>
      <c r="E12" s="5" t="s">
        <v>33</v>
      </c>
      <c r="F12" s="7" t="s">
        <v>42</v>
      </c>
      <c r="G12" s="5" t="s">
        <v>39</v>
      </c>
      <c r="H12" s="8" t="s">
        <v>16</v>
      </c>
      <c r="I12" s="9"/>
    </row>
    <row r="13" customFormat="false" ht="15" hidden="false" customHeight="false" outlineLevel="0" collapsed="false">
      <c r="A13" s="5" t="n">
        <v>9</v>
      </c>
      <c r="B13" s="5" t="s">
        <v>11</v>
      </c>
      <c r="C13" s="6" t="s">
        <v>45</v>
      </c>
      <c r="D13" s="6" t="s">
        <v>46</v>
      </c>
      <c r="E13" s="5" t="s">
        <v>47</v>
      </c>
      <c r="F13" s="5" t="s">
        <v>48</v>
      </c>
      <c r="G13" s="5" t="s">
        <v>39</v>
      </c>
      <c r="H13" s="8" t="s">
        <v>16</v>
      </c>
      <c r="I13" s="9"/>
    </row>
    <row r="14" customFormat="false" ht="15" hidden="false" customHeight="false" outlineLevel="0" collapsed="false">
      <c r="A14" s="5" t="n">
        <v>10</v>
      </c>
      <c r="B14" s="7" t="s">
        <v>49</v>
      </c>
      <c r="C14" s="6" t="s">
        <v>50</v>
      </c>
      <c r="D14" s="6" t="s">
        <v>51</v>
      </c>
      <c r="E14" s="5" t="s">
        <v>52</v>
      </c>
      <c r="F14" s="7" t="s">
        <v>53</v>
      </c>
      <c r="G14" s="5" t="s">
        <v>39</v>
      </c>
      <c r="H14" s="8" t="s">
        <v>16</v>
      </c>
      <c r="I14" s="9"/>
    </row>
    <row r="15" customFormat="false" ht="15" hidden="false" customHeight="false" outlineLevel="0" collapsed="false">
      <c r="A15" s="5" t="n">
        <v>11</v>
      </c>
      <c r="B15" s="7" t="s">
        <v>49</v>
      </c>
      <c r="C15" s="6" t="s">
        <v>54</v>
      </c>
      <c r="D15" s="6" t="s">
        <v>55</v>
      </c>
      <c r="E15" s="5" t="s">
        <v>52</v>
      </c>
      <c r="F15" s="7" t="s">
        <v>56</v>
      </c>
      <c r="G15" s="5" t="s">
        <v>39</v>
      </c>
      <c r="H15" s="8" t="s">
        <v>16</v>
      </c>
      <c r="I15" s="9"/>
    </row>
    <row r="16" customFormat="false" ht="15" hidden="false" customHeight="false" outlineLevel="0" collapsed="false">
      <c r="A16" s="5" t="n">
        <v>12</v>
      </c>
      <c r="B16" s="7" t="s">
        <v>57</v>
      </c>
      <c r="C16" s="6" t="s">
        <v>58</v>
      </c>
      <c r="D16" s="6" t="s">
        <v>59</v>
      </c>
      <c r="E16" s="7" t="s">
        <v>37</v>
      </c>
      <c r="F16" s="5" t="s">
        <v>60</v>
      </c>
      <c r="G16" s="5" t="s">
        <v>39</v>
      </c>
      <c r="H16" s="8" t="s">
        <v>16</v>
      </c>
      <c r="I16" s="9"/>
    </row>
    <row r="18" customFormat="false" ht="15" hidden="false" customHeight="false" outlineLevel="0" collapsed="false">
      <c r="A18" s="10" t="s">
        <v>61</v>
      </c>
    </row>
    <row r="19" customFormat="false" ht="15" hidden="false" customHeight="false" outlineLevel="0" collapsed="false">
      <c r="A19" s="11" t="s">
        <v>62</v>
      </c>
      <c r="B19" s="11"/>
      <c r="C19" s="12" t="n">
        <f aca="false">COUNTA(C5:C16)</f>
        <v>12</v>
      </c>
    </row>
    <row r="20" customFormat="false" ht="15" hidden="false" customHeight="false" outlineLevel="0" collapsed="false">
      <c r="A20" s="11" t="s">
        <v>63</v>
      </c>
      <c r="B20" s="11"/>
      <c r="C20" s="12" t="n">
        <f aca="false">COUNTIF(H5:H16,"説明できる")</f>
        <v>0</v>
      </c>
    </row>
    <row r="21" customFormat="false" ht="15" hidden="false" customHeight="false" outlineLevel="0" collapsed="false">
      <c r="A21" s="11" t="s">
        <v>64</v>
      </c>
      <c r="B21" s="11"/>
      <c r="C21" s="12" t="n">
        <f aca="false">COUNTIF(H5:H16,"曖昧")</f>
        <v>0</v>
      </c>
    </row>
    <row r="22" customFormat="false" ht="15" hidden="false" customHeight="false" outlineLevel="0" collapsed="false">
      <c r="A22" s="11" t="s">
        <v>16</v>
      </c>
      <c r="B22" s="11"/>
      <c r="C22" s="12" t="n">
        <f aca="false">COUNTIF(H5:H16,"未")</f>
        <v>12</v>
      </c>
    </row>
    <row r="23" customFormat="false" ht="15" hidden="false" customHeight="false" outlineLevel="0" collapsed="false">
      <c r="A23" s="11" t="s">
        <v>65</v>
      </c>
      <c r="B23" s="11"/>
      <c r="C23" s="13" t="n">
        <f aca="false">IF(C19=0,0,C20/C19)</f>
        <v>0</v>
      </c>
    </row>
    <row r="25" customFormat="false" ht="15" hidden="false" customHeight="false" outlineLevel="0" collapsed="false">
      <c r="A25" s="2" t="s">
        <v>66</v>
      </c>
    </row>
    <row r="26" customFormat="false" ht="15" hidden="false" customHeight="false" outlineLevel="0" collapsed="false">
      <c r="A26" s="2" t="s">
        <v>67</v>
      </c>
    </row>
  </sheetData>
  <mergeCells count="5">
    <mergeCell ref="A19:B19"/>
    <mergeCell ref="A20:B20"/>
    <mergeCell ref="A21:B21"/>
    <mergeCell ref="A22:B22"/>
    <mergeCell ref="A23:B23"/>
  </mergeCells>
  <conditionalFormatting sqref="H5:H16">
    <cfRule type="cellIs" priority="2" operator="equal" aboveAverage="0" equalAverage="0" bottom="0" percent="0" rank="0" text="" dxfId="0">
      <formula>"説明できる"</formula>
    </cfRule>
    <cfRule type="cellIs" priority="3" operator="equal" aboveAverage="0" equalAverage="0" bottom="0" percent="0" rank="0" text="" dxfId="1">
      <formula>"曖昧"</formula>
    </cfRule>
  </conditionalFormatting>
  <dataValidations count="1">
    <dataValidation allowBlank="true" errorStyle="stop" operator="between" showDropDown="false" showErrorMessage="false" showInputMessage="false" sqref="H5:H16" type="list">
      <formula1>"未,曖昧,説明できる"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21.6" hidden="false" customHeight="false" outlineLevel="0" collapsed="false">
      <c r="A1" s="14" t="s">
        <v>68</v>
      </c>
    </row>
    <row r="2" customFormat="false" ht="15" hidden="false" customHeight="false" outlineLevel="0" collapsed="false">
      <c r="A2" s="2" t="s">
        <v>69</v>
      </c>
    </row>
    <row r="4" customFormat="false" ht="29.85" hidden="false" customHeight="false" outlineLevel="0" collapsed="false">
      <c r="A4" s="3" t="s">
        <v>2</v>
      </c>
      <c r="B4" s="4" t="s">
        <v>70</v>
      </c>
      <c r="C4" s="4" t="s">
        <v>71</v>
      </c>
      <c r="D4" s="4" t="s">
        <v>72</v>
      </c>
      <c r="E4" s="4" t="s">
        <v>73</v>
      </c>
      <c r="F4" s="3" t="s">
        <v>74</v>
      </c>
      <c r="G4" s="4" t="s">
        <v>75</v>
      </c>
      <c r="H4" s="4" t="s">
        <v>76</v>
      </c>
      <c r="I4" s="4" t="s">
        <v>77</v>
      </c>
    </row>
    <row r="5" customFormat="false" ht="15" hidden="false" customHeight="false" outlineLevel="0" collapsed="false">
      <c r="A5" s="5" t="n">
        <v>1</v>
      </c>
      <c r="B5" s="5" t="s">
        <v>15</v>
      </c>
      <c r="C5" s="5" t="s">
        <v>78</v>
      </c>
      <c r="D5" s="9"/>
      <c r="E5" s="9"/>
      <c r="F5" s="9"/>
      <c r="G5" s="9"/>
      <c r="H5" s="15" t="n">
        <f aca="false">COUNTIF(D5:G5,"済")</f>
        <v>0</v>
      </c>
      <c r="I5" s="9"/>
    </row>
    <row r="6" customFormat="false" ht="15" hidden="false" customHeight="false" outlineLevel="0" collapsed="false">
      <c r="A6" s="5" t="n">
        <v>2</v>
      </c>
      <c r="B6" s="5" t="s">
        <v>22</v>
      </c>
      <c r="C6" s="7" t="s">
        <v>79</v>
      </c>
      <c r="D6" s="9"/>
      <c r="E6" s="9"/>
      <c r="F6" s="9"/>
      <c r="G6" s="9"/>
      <c r="H6" s="15" t="n">
        <f aca="false">COUNTIF(D6:G6,"済")</f>
        <v>0</v>
      </c>
      <c r="I6" s="9"/>
    </row>
    <row r="7" customFormat="false" ht="29.85" hidden="false" customHeight="false" outlineLevel="0" collapsed="false">
      <c r="A7" s="5" t="n">
        <v>3</v>
      </c>
      <c r="B7" s="5" t="s">
        <v>39</v>
      </c>
      <c r="C7" s="7" t="s">
        <v>80</v>
      </c>
      <c r="D7" s="9"/>
      <c r="E7" s="9"/>
      <c r="F7" s="9"/>
      <c r="G7" s="9"/>
      <c r="H7" s="15" t="n">
        <f aca="false">COUNTIF(D7:G7,"済")</f>
        <v>0</v>
      </c>
      <c r="I7" s="9" t="s">
        <v>81</v>
      </c>
    </row>
    <row r="8" customFormat="false" ht="29.85" hidden="false" customHeight="false" outlineLevel="0" collapsed="false">
      <c r="A8" s="5" t="n">
        <v>4</v>
      </c>
      <c r="B8" s="5" t="s">
        <v>82</v>
      </c>
      <c r="C8" s="7" t="s">
        <v>83</v>
      </c>
      <c r="D8" s="9"/>
      <c r="E8" s="9"/>
      <c r="F8" s="9"/>
      <c r="G8" s="9"/>
      <c r="H8" s="15" t="n">
        <f aca="false">COUNTIF(D8:G8,"済")</f>
        <v>0</v>
      </c>
      <c r="I8" s="9"/>
    </row>
    <row r="9" customFormat="false" ht="15" hidden="false" customHeight="false" outlineLevel="0" collapsed="false">
      <c r="A9" s="5" t="n">
        <v>5</v>
      </c>
      <c r="B9" s="5" t="s">
        <v>84</v>
      </c>
      <c r="C9" s="7" t="s">
        <v>85</v>
      </c>
      <c r="D9" s="9"/>
      <c r="E9" s="9"/>
      <c r="F9" s="9"/>
      <c r="G9" s="9"/>
      <c r="H9" s="15" t="n">
        <f aca="false">COUNTIF(D9:G9,"済")</f>
        <v>0</v>
      </c>
      <c r="I9" s="9"/>
    </row>
    <row r="10" customFormat="false" ht="15" hidden="false" customHeight="false" outlineLevel="0" collapsed="false">
      <c r="A10" s="5" t="n">
        <v>6</v>
      </c>
      <c r="B10" s="5" t="s">
        <v>86</v>
      </c>
      <c r="C10" s="7" t="s">
        <v>87</v>
      </c>
      <c r="D10" s="9"/>
      <c r="E10" s="9"/>
      <c r="F10" s="9"/>
      <c r="G10" s="9"/>
      <c r="H10" s="15" t="n">
        <f aca="false">COUNTIF(D10:G10,"済")</f>
        <v>0</v>
      </c>
      <c r="I10" s="9"/>
    </row>
    <row r="11" customFormat="false" ht="15" hidden="false" customHeight="false" outlineLevel="0" collapsed="false">
      <c r="A11" s="5" t="n">
        <v>7</v>
      </c>
      <c r="B11" s="5" t="s">
        <v>88</v>
      </c>
      <c r="C11" s="7" t="s">
        <v>89</v>
      </c>
      <c r="D11" s="9"/>
      <c r="E11" s="9"/>
      <c r="F11" s="9"/>
      <c r="G11" s="9"/>
      <c r="H11" s="15" t="n">
        <f aca="false">COUNTIF(D11:G11,"済")</f>
        <v>0</v>
      </c>
      <c r="I11" s="9"/>
    </row>
    <row r="12" customFormat="false" ht="15" hidden="false" customHeight="false" outlineLevel="0" collapsed="false">
      <c r="A12" s="5" t="n">
        <v>8</v>
      </c>
      <c r="B12" s="5" t="s">
        <v>90</v>
      </c>
      <c r="C12" s="7" t="s">
        <v>91</v>
      </c>
      <c r="D12" s="9"/>
      <c r="E12" s="9"/>
      <c r="F12" s="9"/>
      <c r="G12" s="9"/>
      <c r="H12" s="15" t="n">
        <f aca="false">COUNTIF(D12:G12,"済")</f>
        <v>0</v>
      </c>
      <c r="I12" s="9"/>
    </row>
    <row r="13" customFormat="false" ht="15" hidden="false" customHeight="false" outlineLevel="0" collapsed="false">
      <c r="A13" s="5" t="n">
        <v>9</v>
      </c>
      <c r="B13" s="5" t="s">
        <v>92</v>
      </c>
      <c r="C13" s="7" t="s">
        <v>93</v>
      </c>
      <c r="D13" s="9"/>
      <c r="E13" s="9"/>
      <c r="F13" s="9"/>
      <c r="G13" s="9"/>
      <c r="H13" s="15" t="n">
        <f aca="false">COUNTIF(D13:G13,"済")</f>
        <v>0</v>
      </c>
      <c r="I13" s="9"/>
    </row>
    <row r="14" customFormat="false" ht="15" hidden="false" customHeight="false" outlineLevel="0" collapsed="false">
      <c r="A14" s="5" t="n">
        <v>10</v>
      </c>
      <c r="B14" s="5" t="s">
        <v>94</v>
      </c>
      <c r="C14" s="7" t="s">
        <v>95</v>
      </c>
      <c r="D14" s="9"/>
      <c r="E14" s="9"/>
      <c r="F14" s="9"/>
      <c r="G14" s="9"/>
      <c r="H14" s="15" t="n">
        <f aca="false">COUNTIF(D14:G14,"済")</f>
        <v>0</v>
      </c>
      <c r="I14" s="9"/>
    </row>
    <row r="15" customFormat="false" ht="15" hidden="false" customHeight="false" outlineLevel="0" collapsed="false">
      <c r="A15" s="5" t="n">
        <v>11</v>
      </c>
      <c r="B15" s="5" t="s">
        <v>96</v>
      </c>
      <c r="C15" s="7" t="s">
        <v>97</v>
      </c>
      <c r="D15" s="9"/>
      <c r="E15" s="9"/>
      <c r="F15" s="9"/>
      <c r="G15" s="9"/>
      <c r="H15" s="15" t="n">
        <f aca="false">COUNTIF(D15:G15,"済")</f>
        <v>0</v>
      </c>
      <c r="I15" s="9"/>
    </row>
    <row r="17" customFormat="false" ht="15" hidden="false" customHeight="false" outlineLevel="0" collapsed="false">
      <c r="A17" s="11" t="s">
        <v>98</v>
      </c>
      <c r="B17" s="11"/>
      <c r="C17" s="12" t="n">
        <f aca="false">COUNTA(B5:B15)</f>
        <v>11</v>
      </c>
    </row>
    <row r="18" customFormat="false" ht="15" hidden="false" customHeight="false" outlineLevel="0" collapsed="false">
      <c r="A18" s="16" t="s">
        <v>99</v>
      </c>
      <c r="B18" s="16"/>
      <c r="C18" s="12" t="n">
        <f aca="false">COUNTIF(H5:H15,4)</f>
        <v>0</v>
      </c>
    </row>
    <row r="19" customFormat="false" ht="15" hidden="false" customHeight="false" outlineLevel="0" collapsed="false">
      <c r="A19" s="11" t="s">
        <v>100</v>
      </c>
      <c r="B19" s="11"/>
      <c r="C19" s="13" t="n">
        <f aca="false">IF(C17=0,0,COUNTIF(D5:G15,"済")/(C17*4))</f>
        <v>0</v>
      </c>
    </row>
    <row r="21" customFormat="false" ht="15" hidden="false" customHeight="false" outlineLevel="0" collapsed="false">
      <c r="A21" s="2" t="s">
        <v>101</v>
      </c>
    </row>
  </sheetData>
  <mergeCells count="3">
    <mergeCell ref="A17:B17"/>
    <mergeCell ref="A18:B18"/>
    <mergeCell ref="A19:B19"/>
  </mergeCells>
  <conditionalFormatting sqref="D5:G15">
    <cfRule type="cellIs" priority="2" operator="equal" aboveAverage="0" equalAverage="0" bottom="0" percent="0" rank="0" text="" dxfId="0">
      <formula>"済"</formula>
    </cfRule>
  </conditionalFormatting>
  <conditionalFormatting sqref="H5:H15">
    <cfRule type="cellIs" priority="3" operator="equal" aboveAverage="0" equalAverage="0" bottom="0" percent="0" rank="0" text="" dxfId="0">
      <formula>4</formula>
    </cfRule>
  </conditionalFormatting>
  <dataValidations count="1">
    <dataValidation allowBlank="true" errorStyle="stop" operator="between" showDropDown="false" showErrorMessage="false" showInputMessage="false" sqref="D5:G15" type="list">
      <formula1>"済"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2026-10-21T12:21:03Z</dcterms:created>
  <dc:creator>openpyxl</dc:creator>
  <dc:description/>
  <dc:language>en-US</dc:language>
  <cp:lastModifiedBy/>
  <dcterms:modified xsi:type="dcterms:W3CDTF">2026-10-21T12:21:03Z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